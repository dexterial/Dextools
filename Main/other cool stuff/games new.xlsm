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My Drive\Dexterial\Cool Projects\other\"/>
    </mc:Choice>
  </mc:AlternateContent>
  <xr:revisionPtr revIDLastSave="0" documentId="13_ncr:1_{9BF01717-9C36-422A-B58A-AC8F5F623054}" xr6:coauthVersionLast="34" xr6:coauthVersionMax="34" xr10:uidLastSave="{00000000-0000-0000-0000-000000000000}"/>
  <bookViews>
    <workbookView xWindow="240" yWindow="165" windowWidth="14805" windowHeight="7950" xr2:uid="{00000000-000D-0000-FFFF-FFFF00000000}"/>
  </bookViews>
  <sheets>
    <sheet name="riti" sheetId="1" r:id="rId1"/>
    <sheet name="dd" sheetId="2" r:id="rId2"/>
  </sheets>
  <functionGroups builtInGroupCount="19"/>
  <calcPr calcId="179017"/>
  <fileRecoveryPr autoRecover="0"/>
</workbook>
</file>

<file path=xl/calcChain.xml><?xml version="1.0" encoding="utf-8"?>
<calcChain xmlns="http://schemas.openxmlformats.org/spreadsheetml/2006/main">
  <c r="BD67" i="1" l="1"/>
  <c r="BD66" i="1"/>
  <c r="BD65" i="1"/>
  <c r="BD64" i="1"/>
  <c r="BD63" i="1"/>
  <c r="BD62" i="1"/>
  <c r="BD61" i="1"/>
  <c r="BD60" i="1"/>
  <c r="BD59" i="1"/>
  <c r="BD58" i="1"/>
  <c r="BD57" i="1"/>
  <c r="BD56" i="1"/>
  <c r="BD55" i="1"/>
  <c r="BD54" i="1"/>
  <c r="BD53" i="1"/>
  <c r="BD52" i="1"/>
  <c r="BD51" i="1"/>
  <c r="BD50" i="1"/>
  <c r="BD49" i="1"/>
  <c r="BD48" i="1"/>
  <c r="BD47" i="1"/>
  <c r="BD46" i="1"/>
  <c r="BD45" i="1"/>
  <c r="BD44" i="1"/>
  <c r="BD43" i="1"/>
  <c r="BD42" i="1"/>
  <c r="BD41" i="1"/>
  <c r="BD40" i="1"/>
  <c r="BD39" i="1"/>
  <c r="BD38" i="1"/>
  <c r="BD37" i="1"/>
  <c r="BD36" i="1"/>
  <c r="BD35" i="1"/>
  <c r="BD34" i="1"/>
  <c r="BD33" i="1"/>
  <c r="BD32" i="1"/>
  <c r="BD31" i="1"/>
  <c r="BD30" i="1"/>
  <c r="BD29" i="1"/>
  <c r="BD28" i="1"/>
  <c r="BD27" i="1"/>
  <c r="BD26" i="1"/>
  <c r="BD25" i="1"/>
  <c r="BD24" i="1"/>
  <c r="BD23" i="1"/>
  <c r="BD22" i="1"/>
  <c r="BD21" i="1"/>
  <c r="BD20" i="1"/>
  <c r="BD19" i="1"/>
  <c r="BD18" i="1"/>
  <c r="BD17" i="1"/>
  <c r="BD16" i="1"/>
  <c r="BD15" i="1"/>
  <c r="BD14" i="1"/>
  <c r="BD13" i="1"/>
  <c r="BD12" i="1"/>
  <c r="BD11" i="1"/>
  <c r="BD10" i="1"/>
  <c r="BD9" i="1"/>
  <c r="BD8" i="1"/>
  <c r="BR53" i="1"/>
  <c r="BR52" i="1"/>
  <c r="BR51" i="1"/>
  <c r="BR50" i="1"/>
  <c r="BR49" i="1"/>
  <c r="BR48" i="1"/>
  <c r="BR47" i="1"/>
  <c r="BR46" i="1"/>
  <c r="BR45" i="1"/>
  <c r="BR44" i="1"/>
  <c r="BR43" i="1"/>
  <c r="BR42" i="1"/>
  <c r="BR41" i="1"/>
  <c r="BR40" i="1"/>
  <c r="BR39" i="1"/>
  <c r="BR38" i="1"/>
  <c r="BR37" i="1"/>
  <c r="BR36" i="1"/>
  <c r="BR35" i="1"/>
  <c r="BR34" i="1"/>
  <c r="BR33" i="1"/>
  <c r="BR32" i="1"/>
  <c r="BR31" i="1"/>
  <c r="BR30" i="1"/>
  <c r="BR29" i="1"/>
  <c r="BR28" i="1"/>
  <c r="BR27" i="1"/>
  <c r="BR26" i="1"/>
  <c r="BR25" i="1"/>
  <c r="BR24" i="1"/>
  <c r="BR23" i="1"/>
  <c r="BR22" i="1"/>
  <c r="BR21" i="1"/>
  <c r="BR20" i="1"/>
  <c r="BR19" i="1"/>
  <c r="BR18" i="1"/>
  <c r="BR17" i="1"/>
  <c r="BR16" i="1"/>
  <c r="BR15" i="1"/>
  <c r="BR14" i="1"/>
  <c r="BR13" i="1"/>
  <c r="BR12" i="1"/>
  <c r="BR11" i="1"/>
  <c r="BR10" i="1"/>
  <c r="BR9" i="1"/>
  <c r="BR8" i="1"/>
  <c r="BK51" i="1"/>
  <c r="BK50" i="1"/>
  <c r="BK49" i="1"/>
  <c r="BK48" i="1"/>
  <c r="BK47" i="1"/>
  <c r="BK46" i="1"/>
  <c r="BK45" i="1"/>
  <c r="BK44" i="1"/>
  <c r="BK43" i="1"/>
  <c r="BK42" i="1"/>
  <c r="BK41" i="1"/>
  <c r="BK40" i="1"/>
  <c r="BK39" i="1"/>
  <c r="BK38" i="1"/>
  <c r="BK37" i="1"/>
  <c r="BK36" i="1"/>
  <c r="BK35" i="1"/>
  <c r="BK34" i="1"/>
  <c r="BK33" i="1"/>
  <c r="BK32" i="1"/>
  <c r="BK31" i="1"/>
  <c r="BK30" i="1"/>
  <c r="BK29" i="1"/>
  <c r="BK28" i="1"/>
  <c r="BK27" i="1"/>
  <c r="BK26" i="1"/>
  <c r="BK25" i="1"/>
  <c r="BK24" i="1"/>
  <c r="BK23" i="1"/>
  <c r="BK22" i="1"/>
  <c r="BK21" i="1"/>
  <c r="BK20" i="1"/>
  <c r="BK19" i="1"/>
  <c r="BK18" i="1"/>
  <c r="BK17" i="1"/>
  <c r="BK16" i="1"/>
  <c r="BK15" i="1"/>
  <c r="BK14" i="1"/>
  <c r="BK13" i="1"/>
  <c r="BK12" i="1"/>
  <c r="BK11" i="1"/>
  <c r="BK10" i="1"/>
  <c r="BK9" i="1"/>
  <c r="BK8" i="1"/>
  <c r="BE6" i="1" l="1"/>
  <c r="BL6" i="1" s="1"/>
  <c r="BP1" i="1"/>
  <c r="BF1" i="2" l="1"/>
  <c r="BE1" i="2"/>
</calcChain>
</file>

<file path=xl/sharedStrings.xml><?xml version="1.0" encoding="utf-8"?>
<sst xmlns="http://schemas.openxmlformats.org/spreadsheetml/2006/main" count="661" uniqueCount="278">
  <si>
    <t>X</t>
  </si>
  <si>
    <t>O</t>
  </si>
  <si>
    <t>SCORE</t>
  </si>
  <si>
    <t>GAME NUMBER</t>
  </si>
  <si>
    <t>Instructions :</t>
  </si>
  <si>
    <t xml:space="preserve">To win you need to have an horizontal, diagonal or vertical line of five "X" 's or "O" 's. </t>
  </si>
  <si>
    <t>Oponent:</t>
  </si>
  <si>
    <t xml:space="preserve"> </t>
  </si>
  <si>
    <t>max</t>
  </si>
  <si>
    <t>RC R</t>
  </si>
  <si>
    <t>MMV</t>
  </si>
  <si>
    <t>Y</t>
  </si>
  <si>
    <t>MC distance</t>
  </si>
  <si>
    <t>Item</t>
  </si>
  <si>
    <t>Radial</t>
  </si>
  <si>
    <t>CURRENT PLAYER</t>
  </si>
  <si>
    <t>a</t>
  </si>
  <si>
    <t>b</t>
  </si>
  <si>
    <t>c</t>
  </si>
  <si>
    <t>d</t>
  </si>
  <si>
    <t>L</t>
  </si>
  <si>
    <t>R</t>
  </si>
  <si>
    <t>UR</t>
  </si>
  <si>
    <t>DR</t>
  </si>
  <si>
    <t>D</t>
  </si>
  <si>
    <t>U</t>
  </si>
  <si>
    <t>UL</t>
  </si>
  <si>
    <t>DL</t>
  </si>
  <si>
    <t>History</t>
  </si>
  <si>
    <t>RC</t>
  </si>
  <si>
    <t>Computer</t>
  </si>
  <si>
    <t>11000</t>
  </si>
  <si>
    <t>00011000</t>
  </si>
  <si>
    <t>00111000</t>
  </si>
  <si>
    <t>111000</t>
  </si>
  <si>
    <t>12|25</t>
  </si>
  <si>
    <t>12|24</t>
  </si>
  <si>
    <t>12|23</t>
  </si>
  <si>
    <t>11|23</t>
  </si>
  <si>
    <t>12|26</t>
  </si>
  <si>
    <t>00011</t>
  </si>
  <si>
    <t>011000</t>
  </si>
  <si>
    <t>11|22</t>
  </si>
  <si>
    <t>01111000</t>
  </si>
  <si>
    <t>12|21</t>
  </si>
  <si>
    <t>11|21</t>
  </si>
  <si>
    <t>0001100</t>
  </si>
  <si>
    <t>000110</t>
  </si>
  <si>
    <t>0011000</t>
  </si>
  <si>
    <t>13|24</t>
  </si>
  <si>
    <t>13|23</t>
  </si>
  <si>
    <t>13|20</t>
  </si>
  <si>
    <t>13|21</t>
  </si>
  <si>
    <t>14|20</t>
  </si>
  <si>
    <t>15|19</t>
  </si>
  <si>
    <t>12+(1)|22+(1)</t>
  </si>
  <si>
    <t>12+(1)|22+(-1)</t>
  </si>
  <si>
    <t>15|20</t>
  </si>
  <si>
    <t>16|19</t>
  </si>
  <si>
    <t>14+(-1)|21+(0)</t>
  </si>
  <si>
    <t>14+(1)|21+(-1)</t>
  </si>
  <si>
    <t>16+(-1)|20+(-1)</t>
  </si>
  <si>
    <t>17|19</t>
  </si>
  <si>
    <t>16+(1)|20+(-1)</t>
  </si>
  <si>
    <t>16+(0)|20+(-1)</t>
  </si>
  <si>
    <t>17+(-1)|20+(-1)</t>
  </si>
  <si>
    <t>17+(0)|20+(-1)</t>
  </si>
  <si>
    <t>14+(-1)|22+(-1)</t>
  </si>
  <si>
    <t>14+(-1)|22+(1)</t>
  </si>
  <si>
    <t>17|18</t>
  </si>
  <si>
    <t>15|24</t>
  </si>
  <si>
    <t>15+(0)|23+(1)</t>
  </si>
  <si>
    <t>14+(-1)|23+(1)</t>
  </si>
  <si>
    <t>14+(1)|23+(1)</t>
  </si>
  <si>
    <t>O|14|24|1|92682</t>
  </si>
  <si>
    <t>14+(-1)|24+(0)</t>
  </si>
  <si>
    <t>14|25</t>
  </si>
  <si>
    <t>14+(0)|24+(1)</t>
  </si>
  <si>
    <t>15|25</t>
  </si>
  <si>
    <t>14+(1)|24+(1)</t>
  </si>
  <si>
    <t>14+(1)|24+(0)</t>
  </si>
  <si>
    <t>14|26</t>
  </si>
  <si>
    <t>16|25</t>
  </si>
  <si>
    <t>17|27</t>
  </si>
  <si>
    <t>17|26</t>
  </si>
  <si>
    <t>17|25</t>
  </si>
  <si>
    <t>13|26</t>
  </si>
  <si>
    <t>13+(-1)|25+(1)</t>
  </si>
  <si>
    <t>13+(0)|25+(1)</t>
  </si>
  <si>
    <t>13+(1)|25+(1)</t>
  </si>
  <si>
    <t>13+(0)|25+(-1)</t>
  </si>
  <si>
    <t>18|27</t>
  </si>
  <si>
    <t>19|27</t>
  </si>
  <si>
    <t>19|26</t>
  </si>
  <si>
    <t>18|25</t>
  </si>
  <si>
    <t>18+(-1)|26+(-1)</t>
  </si>
  <si>
    <t>18+(1)|26+(1)</t>
  </si>
  <si>
    <t>18+(1)|26+(0)</t>
  </si>
  <si>
    <t>18+(0)|26+(-1)</t>
  </si>
  <si>
    <t>18|18</t>
  </si>
  <si>
    <t>19|18</t>
  </si>
  <si>
    <t>19|19</t>
  </si>
  <si>
    <t>20|19</t>
  </si>
  <si>
    <t>21|19</t>
  </si>
  <si>
    <t>21|18</t>
  </si>
  <si>
    <t>18+(-1)|20+(-1)</t>
  </si>
  <si>
    <t>18+(-1)|19+(0)</t>
  </si>
  <si>
    <t>22|23</t>
  </si>
  <si>
    <t>21+(1)|23+(0)</t>
  </si>
  <si>
    <t>19+(1)|20+(-1)</t>
  </si>
  <si>
    <t>21+(1)|22+(1)</t>
  </si>
  <si>
    <t>19+(-1)|25+(0)</t>
  </si>
  <si>
    <t>19+(0)|25+(1)</t>
  </si>
  <si>
    <t>20|26</t>
  </si>
  <si>
    <t>19+(1)|25+(1)</t>
  </si>
  <si>
    <t>21|25</t>
  </si>
  <si>
    <t>20+(1)|24+(1)</t>
  </si>
  <si>
    <t>21|26</t>
  </si>
  <si>
    <t>22|26</t>
  </si>
  <si>
    <t>20+(-1)|25+(1)</t>
  </si>
  <si>
    <t>20+(0)|25+(1)</t>
  </si>
  <si>
    <t>20+(1)|25+(1)</t>
  </si>
  <si>
    <t>22|27</t>
  </si>
  <si>
    <t>23|27</t>
  </si>
  <si>
    <t>23|25</t>
  </si>
  <si>
    <t>O wins!</t>
  </si>
  <si>
    <t>13+(-1)|25+(0)</t>
  </si>
  <si>
    <t>13+(1)|25+(0)</t>
  </si>
  <si>
    <t>X|13|25|-1</t>
  </si>
  <si>
    <t>14+(-1)|23+(0)</t>
  </si>
  <si>
    <t>X|14|23|-1</t>
  </si>
  <si>
    <t>13+(-1)|22+(-1)</t>
  </si>
  <si>
    <t>13+(0)|22+(1)</t>
  </si>
  <si>
    <t>13+(0)|22+(-1)</t>
  </si>
  <si>
    <t>12+(-1)|22+(-1)</t>
  </si>
  <si>
    <t>12+(0)|22+(-1)</t>
  </si>
  <si>
    <t>X|12|22|-1</t>
  </si>
  <si>
    <t>16+(-1)|20+(0)</t>
  </si>
  <si>
    <t>15+(-1)|21+(-1)</t>
  </si>
  <si>
    <t>15+(0)|21+(-1)</t>
  </si>
  <si>
    <t>14+(-1)|21+(-1)</t>
  </si>
  <si>
    <t>18+(-1)|19+(-1)</t>
  </si>
  <si>
    <t>18+(1)|19+(0)</t>
  </si>
  <si>
    <t>18+(1)|19+(-1)</t>
  </si>
  <si>
    <t>18+(0)|19+(-1)</t>
  </si>
  <si>
    <t>18+(1)|20+(-1)</t>
  </si>
  <si>
    <t>O|15|22||1</t>
  </si>
  <si>
    <t>X|14|21|-1</t>
  </si>
  <si>
    <t>14+(0)|21+(-1)</t>
  </si>
  <si>
    <t>O|16|21|2|32768</t>
  </si>
  <si>
    <t>X|15|21|-1</t>
  </si>
  <si>
    <t>16+(-1)|21+(-1)</t>
  </si>
  <si>
    <t>O|14|22|1|36864</t>
  </si>
  <si>
    <t>X|16|20|-1</t>
  </si>
  <si>
    <t>O|16|22|1|32949</t>
  </si>
  <si>
    <t>O|13|22|1|92682</t>
  </si>
  <si>
    <t>X|17|22|-1</t>
  </si>
  <si>
    <t>13+(-1)|22+(1)</t>
  </si>
  <si>
    <t>12+(-1)|22+(0)</t>
  </si>
  <si>
    <t>12+(-1)|22+(1)</t>
  </si>
  <si>
    <t>12+(0)|22+(1)</t>
  </si>
  <si>
    <t>O|15|23|1|8373</t>
  </si>
  <si>
    <t>16+(-1)|24+(1)</t>
  </si>
  <si>
    <t>16+(0)|24+(1)</t>
  </si>
  <si>
    <t>O|17|21|1|32949</t>
  </si>
  <si>
    <t>X|16|24|-1</t>
  </si>
  <si>
    <t>X|18|20|-1</t>
  </si>
  <si>
    <t>14+(-1)|24+(-1)</t>
  </si>
  <si>
    <t>13+(-1)|25+(-1)</t>
  </si>
  <si>
    <t>O|17|20|1|65536</t>
  </si>
  <si>
    <t>O|18|21|1|36864</t>
  </si>
  <si>
    <t>X|18|19|-1</t>
  </si>
  <si>
    <t>O|19|21|1|92682</t>
  </si>
  <si>
    <t>X|19|22|-1</t>
  </si>
  <si>
    <t>O|19|20|1|65717</t>
  </si>
  <si>
    <t>X|20|21|-1</t>
  </si>
  <si>
    <t>19+(0)|20+(-1)</t>
  </si>
  <si>
    <t>O|17|24|1|262656</t>
  </si>
  <si>
    <t>X|18|23|-1</t>
  </si>
  <si>
    <t>17+(-1)|24+(1)</t>
  </si>
  <si>
    <t>17+(0)|24+(1)</t>
  </si>
  <si>
    <t>17+(1)|24+(1)</t>
  </si>
  <si>
    <t>21+(-1)|20+(-1)</t>
  </si>
  <si>
    <t>21+(0)|20+(-1)</t>
  </si>
  <si>
    <t>O|22|19|1|47453133</t>
  </si>
  <si>
    <t>X|21|20|-1</t>
  </si>
  <si>
    <t>22+(-1)|19+(-1)</t>
  </si>
  <si>
    <t>23|18</t>
  </si>
  <si>
    <t>22+(1)|19+(-1)</t>
  </si>
  <si>
    <t>22|18</t>
  </si>
  <si>
    <t>22+(0)|19+(-1)</t>
  </si>
  <si>
    <t>19+(-1)|24+(1)</t>
  </si>
  <si>
    <t>O|20|25|1|92682</t>
  </si>
  <si>
    <t>X|19|24|-1</t>
  </si>
  <si>
    <t>O|19|23|1|21225</t>
  </si>
  <si>
    <t>X|20|24|-1</t>
  </si>
  <si>
    <t>21+(0)|24+(1)</t>
  </si>
  <si>
    <t>O|22|24|1|262144</t>
  </si>
  <si>
    <t>X|21|24|-1</t>
  </si>
  <si>
    <t>22+(-1)|24+(1)</t>
  </si>
  <si>
    <t>22+(1)|24+(1)</t>
  </si>
  <si>
    <t>23|24</t>
  </si>
  <si>
    <t>22+(1)|24+(0)</t>
  </si>
  <si>
    <t>23|23</t>
  </si>
  <si>
    <t>22+(1)|24+(-1)</t>
  </si>
  <si>
    <t>O|21|22|1|262325</t>
  </si>
  <si>
    <t>X|21|23|-1</t>
  </si>
  <si>
    <t>X|19|25|1|32949</t>
  </si>
  <si>
    <t>O|18|26|2|262144</t>
  </si>
  <si>
    <t>18+(-1)|26+(0)</t>
  </si>
  <si>
    <t>18+(-1)|26+(1)</t>
  </si>
  <si>
    <t>18+(0)|26+(1)</t>
  </si>
  <si>
    <t>X|22|22|1|92682</t>
  </si>
  <si>
    <t>22+(1)|22+(1)</t>
  </si>
  <si>
    <t>23|22</t>
  </si>
  <si>
    <t>22+(1)|22+(0)</t>
  </si>
  <si>
    <t>O|23|21|1|47453133</t>
  </si>
  <si>
    <t>23+(0)|21+(1)</t>
  </si>
  <si>
    <t>24|22</t>
  </si>
  <si>
    <t>23+(1)|21+(1)</t>
  </si>
  <si>
    <t>24|20</t>
  </si>
  <si>
    <t>23+(1)|21+(-1)</t>
  </si>
  <si>
    <t>X|20|23|1|17377</t>
  </si>
  <si>
    <t>O|20|22|1|834137</t>
  </si>
  <si>
    <t>X|22|25|1|92682</t>
  </si>
  <si>
    <t>22+(-1)|25+(0)</t>
  </si>
  <si>
    <t>22+(-1)|25+(1)</t>
  </si>
  <si>
    <t>22+(0)|25+(1)</t>
  </si>
  <si>
    <t>22+(1)|25+(0)</t>
  </si>
  <si>
    <t>22+(1)|25+(-1)</t>
  </si>
  <si>
    <t>O|23|26|1|47453133</t>
  </si>
  <si>
    <t>23+(-1)|26+(0)</t>
  </si>
  <si>
    <t>23+(-1)|26+(1)</t>
  </si>
  <si>
    <t>23+(0)|26+(1)</t>
  </si>
  <si>
    <t>24|27</t>
  </si>
  <si>
    <t>23+(1)|26+(1)</t>
  </si>
  <si>
    <t>24|26</t>
  </si>
  <si>
    <t>23+(1)|26+(0)</t>
  </si>
  <si>
    <t>24|25</t>
  </si>
  <si>
    <t>23+(1)|26+(-1)</t>
  </si>
  <si>
    <t>23+(0)|26+(-1)</t>
  </si>
  <si>
    <t>X|18|24|2|32768</t>
  </si>
  <si>
    <t>18+(-1)|24+(1)</t>
  </si>
  <si>
    <t>O|17|23|1|15681</t>
  </si>
  <si>
    <t>X|16|23|2|13033</t>
  </si>
  <si>
    <t>16+(-1)|23+(1)</t>
  </si>
  <si>
    <t>O|18|22|1|13033</t>
  </si>
  <si>
    <t>X|20|20|1|92682</t>
  </si>
  <si>
    <t>20+(-1)|20+(-1)</t>
  </si>
  <si>
    <t>20+(1)|20+(-1)</t>
  </si>
  <si>
    <t>20+(0)|20+(-1)</t>
  </si>
  <si>
    <t>O|21|21|1|66984</t>
  </si>
  <si>
    <t>X|22|20|1|100874</t>
  </si>
  <si>
    <t>22+(-1)|20+(-1)</t>
  </si>
  <si>
    <t>O|23|20|1|92682</t>
  </si>
  <si>
    <t>23+(1)|20+(0)</t>
  </si>
  <si>
    <t>24|19</t>
  </si>
  <si>
    <t>23+(1)|20+(-1)</t>
  </si>
  <si>
    <t>X|23|19|1|36864</t>
  </si>
  <si>
    <t>23+(-1)|19+(-1)</t>
  </si>
  <si>
    <t>23+(1)|19+(1)</t>
  </si>
  <si>
    <t>23+(1)|19+(0)</t>
  </si>
  <si>
    <t>24|18</t>
  </si>
  <si>
    <t>23+(1)|19+(-1)</t>
  </si>
  <si>
    <t>23+(0)|19+(-1)</t>
  </si>
  <si>
    <t>O|24|21|1|34216</t>
  </si>
  <si>
    <t>24+(-1)|21+(1)</t>
  </si>
  <si>
    <t>24+(0)|21+(1)</t>
  </si>
  <si>
    <t>25|22</t>
  </si>
  <si>
    <t>24+(1)|21+(1)</t>
  </si>
  <si>
    <t>25|21</t>
  </si>
  <si>
    <t>24+(1)|21+(0)</t>
  </si>
  <si>
    <t>25|20</t>
  </si>
  <si>
    <t>24+(1)|21+(-1)</t>
  </si>
  <si>
    <t>24+(0)|21+(-1)</t>
  </si>
  <si>
    <t>X|22|21|1|847170</t>
  </si>
  <si>
    <t>22+(1)|21+(1)</t>
  </si>
  <si>
    <t>O|21|18|2|262144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</si>
</sst>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rgb="FF000000"/>
      <name val="Calibri"/>
      <family val="2"/>
    </font>
    <font>
      <sz val="24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DCDCC8"/>
        <bgColor indexed="64"/>
      </patternFill>
    </fill>
    <fill>
      <patternFill patternType="solid">
        <fgColor rgb="FFFAC8C8"/>
        <bgColor indexed="64"/>
      </patternFill>
    </fill>
    <fill>
      <patternFill patternType="solid">
        <fgColor rgb="FFC8C8DC"/>
        <bgColor indexed="64"/>
      </patternFill>
    </fill>
    <fill>
      <patternFill patternType="solid">
        <fgColor rgb="FFC8C8FA"/>
        <bgColor indexed="64"/>
      </patternFill>
    </fill>
    <fill>
      <patternFill patternType="solid">
        <fgColor rgb="FFDCC8C8"/>
        <bgColor indexed="64"/>
      </patternFill>
    </fill>
    <fill>
      <patternFill patternType="solid">
        <fgColor rgb="FFC8DCC8"/>
        <bgColor indexed="64"/>
      </patternFill>
    </fill>
    <fill>
      <patternFill patternType="solid">
        <fgColor rgb="FFC8FAC8"/>
        <bgColor indexed="64"/>
      </patternFill>
    </fill>
    <fill>
      <patternFill patternType="solid">
        <fgColor rgb="FFFAFAC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6C8FF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Fill="1" applyBorder="1"/>
    <xf numFmtId="0" fontId="0" fillId="2" borderId="0" xfId="0" applyFill="1" applyBorder="1"/>
    <xf numFmtId="0" fontId="0" fillId="2" borderId="0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1" fillId="2" borderId="0" xfId="0" applyFont="1" applyFill="1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 wrapText="1"/>
    </xf>
    <xf numFmtId="0" fontId="4" fillId="2" borderId="0" xfId="0" applyFont="1" applyFill="1" applyBorder="1"/>
    <xf numFmtId="0" fontId="0" fillId="0" borderId="0" xfId="0" applyFill="1"/>
    <xf numFmtId="0" fontId="6" fillId="0" borderId="13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6" fillId="9" borderId="0" xfId="0" applyFont="1" applyFill="1" applyBorder="1" applyAlignment="1">
      <alignment horizontal="center" vertical="center"/>
    </xf>
    <xf numFmtId="0" fontId="6" fillId="9" borderId="14" xfId="0" applyFont="1" applyFill="1" applyBorder="1" applyAlignment="1">
      <alignment horizontal="center" vertical="center"/>
    </xf>
    <xf numFmtId="0" fontId="6" fillId="9" borderId="16" xfId="0" applyFont="1" applyFill="1" applyBorder="1" applyAlignment="1">
      <alignment horizontal="center" vertical="center"/>
    </xf>
    <xf numFmtId="0" fontId="6" fillId="9" borderId="17" xfId="0" applyFont="1" applyFill="1" applyBorder="1" applyAlignment="1">
      <alignment horizontal="center" vertical="center"/>
    </xf>
    <xf numFmtId="0" fontId="6" fillId="9" borderId="19" xfId="0" applyFont="1" applyFill="1" applyBorder="1" applyAlignment="1">
      <alignment horizontal="center" vertical="center"/>
    </xf>
    <xf numFmtId="0" fontId="6" fillId="9" borderId="15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0" fontId="6" fillId="9" borderId="13" xfId="0" applyFont="1" applyFill="1" applyBorder="1" applyAlignment="1">
      <alignment horizontal="center" vertical="center"/>
    </xf>
    <xf numFmtId="0" fontId="6" fillId="9" borderId="18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6" borderId="11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14" borderId="2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1" borderId="2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2" borderId="0" xfId="0" applyFill="1" applyBorder="1" applyAlignment="1">
      <alignment vertical="top" wrapText="1"/>
    </xf>
    <xf numFmtId="0" fontId="0" fillId="2" borderId="0" xfId="0" applyFill="1" applyBorder="1" applyAlignment="1">
      <alignment vertical="top"/>
    </xf>
    <xf numFmtId="0" fontId="10" fillId="22" borderId="11" xfId="0" applyFont="1" applyFill="1" applyBorder="1" applyAlignment="1">
      <alignment horizontal="center" vertical="center" wrapText="1"/>
    </xf>
    <xf numFmtId="0" fontId="10" fillId="22" borderId="1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 wrapText="1"/>
    </xf>
    <xf numFmtId="0" fontId="5" fillId="13" borderId="11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0" borderId="0" xfId="0" quotePrefix="1"/>
    <xf numFmtId="0" fontId="0" fillId="23" borderId="2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CFFFF"/>
      <color rgb="FF66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76200</xdr:rowOff>
        </xdr:from>
        <xdr:to>
          <xdr:col>4</xdr:col>
          <xdr:colOff>133350</xdr:colOff>
          <xdr:row>1</xdr:row>
          <xdr:rowOff>295275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 vs Human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171450</xdr:colOff>
          <xdr:row>0</xdr:row>
          <xdr:rowOff>85725</xdr:rowOff>
        </xdr:from>
        <xdr:to>
          <xdr:col>64</xdr:col>
          <xdr:colOff>57150</xdr:colOff>
          <xdr:row>1</xdr:row>
          <xdr:rowOff>304800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DK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0</xdr:row>
          <xdr:rowOff>76200</xdr:rowOff>
        </xdr:from>
        <xdr:to>
          <xdr:col>8</xdr:col>
          <xdr:colOff>95250</xdr:colOff>
          <xdr:row>1</xdr:row>
          <xdr:rowOff>295275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PLAY vs AI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457200</xdr:colOff>
          <xdr:row>1</xdr:row>
          <xdr:rowOff>161925</xdr:rowOff>
        </xdr:from>
        <xdr:to>
          <xdr:col>70</xdr:col>
          <xdr:colOff>476250</xdr:colOff>
          <xdr:row>3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AI vs AI 1 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114300</xdr:colOff>
          <xdr:row>0</xdr:row>
          <xdr:rowOff>76200</xdr:rowOff>
        </xdr:from>
        <xdr:to>
          <xdr:col>15</xdr:col>
          <xdr:colOff>152400</xdr:colOff>
          <xdr:row>1</xdr:row>
          <xdr:rowOff>295275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AI vs AI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95250</xdr:colOff>
          <xdr:row>1</xdr:row>
          <xdr:rowOff>161925</xdr:rowOff>
        </xdr:from>
        <xdr:to>
          <xdr:col>69</xdr:col>
          <xdr:colOff>114300</xdr:colOff>
          <xdr:row>3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Eval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19050</xdr:colOff>
          <xdr:row>4</xdr:row>
          <xdr:rowOff>9525</xdr:rowOff>
        </xdr:from>
        <xdr:to>
          <xdr:col>70</xdr:col>
          <xdr:colOff>704850</xdr:colOff>
          <xdr:row>5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47625</xdr:colOff>
          <xdr:row>1</xdr:row>
          <xdr:rowOff>28575</xdr:rowOff>
        </xdr:from>
        <xdr:to>
          <xdr:col>51</xdr:col>
          <xdr:colOff>142875</xdr:colOff>
          <xdr:row>3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local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47625</xdr:colOff>
          <xdr:row>4</xdr:row>
          <xdr:rowOff>19050</xdr:rowOff>
        </xdr:from>
        <xdr:to>
          <xdr:col>51</xdr:col>
          <xdr:colOff>142875</xdr:colOff>
          <xdr:row>6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S1239"/>
  <sheetViews>
    <sheetView showGridLines="0" tabSelected="1" zoomScaleNormal="100" workbookViewId="0">
      <selection activeCell="AG9" sqref="AG9"/>
    </sheetView>
  </sheetViews>
  <sheetFormatPr defaultColWidth="2.85546875" defaultRowHeight="15" customHeight="1" x14ac:dyDescent="0.25"/>
  <cols>
    <col min="1" max="53" width="2.5703125" style="1" customWidth="1"/>
    <col min="54" max="54" width="3" style="1" customWidth="1"/>
    <col min="55" max="56" width="8.5703125" style="1" customWidth="1"/>
    <col min="57" max="57" width="8" style="1" bestFit="1" customWidth="1"/>
    <col min="58" max="58" width="5.7109375" style="1" customWidth="1"/>
    <col min="59" max="59" width="9.85546875" style="1" bestFit="1" customWidth="1"/>
    <col min="60" max="60" width="13.42578125" style="1" bestFit="1" customWidth="1"/>
    <col min="61" max="61" width="6.140625" style="1" bestFit="1" customWidth="1"/>
    <col min="62" max="62" width="8" style="1" bestFit="1" customWidth="1"/>
    <col min="63" max="63" width="7" style="1" bestFit="1" customWidth="1"/>
    <col min="64" max="64" width="8" style="1" bestFit="1" customWidth="1"/>
    <col min="65" max="65" width="8.5703125" style="1" customWidth="1"/>
    <col min="66" max="66" width="9.85546875" style="1" bestFit="1" customWidth="1"/>
    <col min="67" max="67" width="13.5703125" style="1" bestFit="1" customWidth="1"/>
    <col min="68" max="68" width="6.5703125" style="1" customWidth="1"/>
    <col min="69" max="70" width="8" style="1" bestFit="1" customWidth="1"/>
    <col min="71" max="71" width="17.7109375" style="1" bestFit="1" customWidth="1"/>
    <col min="72" max="16384" width="2.85546875" style="1"/>
  </cols>
  <sheetData>
    <row r="1" spans="1:71" ht="16.5" customHeight="1" x14ac:dyDescent="0.25">
      <c r="A1" s="3"/>
      <c r="B1" s="3"/>
      <c r="C1" s="14"/>
      <c r="D1" s="14"/>
      <c r="E1" s="14"/>
      <c r="F1" s="14"/>
      <c r="G1" s="14"/>
      <c r="H1" s="14"/>
      <c r="I1" s="14"/>
      <c r="J1" s="14"/>
      <c r="K1" s="14"/>
      <c r="L1" s="2"/>
      <c r="M1" s="59"/>
      <c r="N1" s="59"/>
      <c r="O1" s="59"/>
      <c r="P1" s="59"/>
      <c r="Q1" s="62" t="s">
        <v>15</v>
      </c>
      <c r="R1" s="62"/>
      <c r="S1" s="62"/>
      <c r="T1" s="63" t="s">
        <v>125</v>
      </c>
      <c r="U1" s="64"/>
      <c r="V1" s="64"/>
      <c r="W1" s="64"/>
      <c r="X1" s="64"/>
      <c r="Y1" s="15"/>
      <c r="Z1" s="65" t="s">
        <v>2</v>
      </c>
      <c r="AA1" s="65"/>
      <c r="AB1" s="65"/>
      <c r="AC1" s="65"/>
      <c r="AD1" s="60" t="s">
        <v>0</v>
      </c>
      <c r="AE1" s="60"/>
      <c r="AF1" s="60" t="s">
        <v>1</v>
      </c>
      <c r="AG1" s="60"/>
      <c r="AH1" s="15"/>
      <c r="AI1" s="62" t="s">
        <v>3</v>
      </c>
      <c r="AJ1" s="62"/>
      <c r="AK1" s="62"/>
      <c r="AL1" s="62"/>
      <c r="AM1" s="64">
        <v>3</v>
      </c>
      <c r="AN1" s="64"/>
      <c r="AO1" s="64"/>
      <c r="AP1" s="14"/>
      <c r="AQ1" s="65" t="s">
        <v>6</v>
      </c>
      <c r="AR1" s="65"/>
      <c r="AS1" s="65"/>
      <c r="AT1" s="65"/>
      <c r="AU1" s="65"/>
      <c r="AV1" s="14"/>
      <c r="AW1" s="14"/>
      <c r="AX1" s="14"/>
      <c r="AY1" s="14"/>
      <c r="AZ1" s="14"/>
      <c r="BA1" s="14"/>
      <c r="BB1" s="2" t="s">
        <v>7</v>
      </c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>
        <f>scoreMe(BN1,"1",1,5)</f>
        <v>1</v>
      </c>
      <c r="BQ1" s="2"/>
      <c r="BR1" s="2"/>
      <c r="BS1" s="2"/>
    </row>
    <row r="2" spans="1:71" ht="27" customHeight="1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62"/>
      <c r="R2" s="62"/>
      <c r="S2" s="62"/>
      <c r="T2" s="64"/>
      <c r="U2" s="64"/>
      <c r="V2" s="64"/>
      <c r="W2" s="64"/>
      <c r="X2" s="64"/>
      <c r="Y2" s="3"/>
      <c r="Z2" s="65"/>
      <c r="AA2" s="65"/>
      <c r="AB2" s="65"/>
      <c r="AC2" s="65"/>
      <c r="AD2" s="66"/>
      <c r="AE2" s="66"/>
      <c r="AF2" s="66">
        <v>1</v>
      </c>
      <c r="AG2" s="66"/>
      <c r="AH2" s="3"/>
      <c r="AI2" s="62"/>
      <c r="AJ2" s="62"/>
      <c r="AK2" s="62"/>
      <c r="AL2" s="62"/>
      <c r="AM2" s="64"/>
      <c r="AN2" s="64"/>
      <c r="AO2" s="64"/>
      <c r="AP2" s="3"/>
      <c r="AQ2" s="61" t="s">
        <v>30</v>
      </c>
      <c r="AR2" s="61"/>
      <c r="AS2" s="61"/>
      <c r="AT2" s="61"/>
      <c r="AU2" s="61"/>
      <c r="AV2" s="3"/>
      <c r="AW2" s="3"/>
      <c r="AX2" s="3"/>
      <c r="AY2" s="3"/>
      <c r="AZ2" s="3"/>
      <c r="BA2" s="3"/>
      <c r="BB2" s="17"/>
      <c r="BC2" s="13"/>
      <c r="BD2" s="13" t="s">
        <v>4</v>
      </c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</row>
    <row r="3" spans="1:71" ht="15" customHeight="1" thickBot="1" x14ac:dyDescent="0.3">
      <c r="A3" s="17" t="s">
        <v>16</v>
      </c>
      <c r="B3" s="17">
        <v>2</v>
      </c>
      <c r="C3" s="17">
        <v>3</v>
      </c>
      <c r="D3" s="17">
        <v>4</v>
      </c>
      <c r="E3" s="17">
        <v>5</v>
      </c>
      <c r="F3" s="17">
        <v>6</v>
      </c>
      <c r="G3" s="17">
        <v>7</v>
      </c>
      <c r="H3" s="17">
        <v>8</v>
      </c>
      <c r="I3" s="17">
        <v>9</v>
      </c>
      <c r="J3" s="17">
        <v>10</v>
      </c>
      <c r="K3" s="17">
        <v>11</v>
      </c>
      <c r="L3" s="17">
        <v>12</v>
      </c>
      <c r="M3" s="17">
        <v>13</v>
      </c>
      <c r="N3" s="17">
        <v>14</v>
      </c>
      <c r="O3" s="17">
        <v>15</v>
      </c>
      <c r="P3" s="17">
        <v>16</v>
      </c>
      <c r="Q3" s="17">
        <v>17</v>
      </c>
      <c r="R3" s="17">
        <v>18</v>
      </c>
      <c r="S3" s="17">
        <v>19</v>
      </c>
      <c r="T3" s="17">
        <v>20</v>
      </c>
      <c r="U3" s="17">
        <v>21</v>
      </c>
      <c r="V3" s="17">
        <v>22</v>
      </c>
      <c r="W3" s="17">
        <v>23</v>
      </c>
      <c r="X3" s="17">
        <v>24</v>
      </c>
      <c r="Y3" s="17">
        <v>25</v>
      </c>
      <c r="Z3" s="17">
        <v>26</v>
      </c>
      <c r="AA3" s="17">
        <v>27</v>
      </c>
      <c r="AB3" s="17">
        <v>28</v>
      </c>
      <c r="AC3" s="17">
        <v>29</v>
      </c>
      <c r="AD3" s="17">
        <v>30</v>
      </c>
      <c r="AE3" s="17">
        <v>31</v>
      </c>
      <c r="AF3" s="17">
        <v>32</v>
      </c>
      <c r="AG3" s="17">
        <v>33</v>
      </c>
      <c r="AH3" s="17">
        <v>34</v>
      </c>
      <c r="AI3" s="17">
        <v>35</v>
      </c>
      <c r="AJ3" s="17">
        <v>36</v>
      </c>
      <c r="AK3" s="17">
        <v>37</v>
      </c>
      <c r="AL3" s="17">
        <v>38</v>
      </c>
      <c r="AM3" s="17">
        <v>39</v>
      </c>
      <c r="AN3" s="17">
        <v>40</v>
      </c>
      <c r="AO3" s="17">
        <v>41</v>
      </c>
      <c r="AP3" s="17">
        <v>42</v>
      </c>
      <c r="AQ3" s="17">
        <v>43</v>
      </c>
      <c r="AR3" s="17">
        <v>44</v>
      </c>
      <c r="AS3" s="17">
        <v>45</v>
      </c>
      <c r="AT3" s="17">
        <v>46</v>
      </c>
      <c r="AU3" s="17">
        <v>47</v>
      </c>
      <c r="AV3" s="17">
        <v>48</v>
      </c>
      <c r="AW3" s="17">
        <v>49</v>
      </c>
      <c r="AX3" s="17">
        <v>50</v>
      </c>
      <c r="AY3" s="17">
        <v>51</v>
      </c>
      <c r="AZ3" s="17">
        <v>52</v>
      </c>
      <c r="BA3" s="17">
        <v>53</v>
      </c>
      <c r="BB3" s="17" t="s">
        <v>17</v>
      </c>
      <c r="BC3" s="2"/>
      <c r="BD3" s="56" t="s">
        <v>5</v>
      </c>
      <c r="BE3" s="55"/>
      <c r="BF3" s="55"/>
      <c r="BG3" s="55"/>
      <c r="BH3" s="55"/>
      <c r="BI3" s="55"/>
      <c r="BJ3" s="55"/>
      <c r="BK3" s="55"/>
      <c r="BL3" s="55"/>
      <c r="BM3" s="55"/>
      <c r="BN3" s="55"/>
      <c r="BO3" s="55"/>
      <c r="BP3" s="55"/>
      <c r="BQ3" s="2"/>
      <c r="BR3" s="2"/>
      <c r="BS3" s="2"/>
    </row>
    <row r="4" spans="1:71" ht="13.5" customHeight="1" x14ac:dyDescent="0.25">
      <c r="A4" s="17">
        <v>4</v>
      </c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6"/>
      <c r="BB4" s="17">
        <v>4</v>
      </c>
      <c r="BC4" s="2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2"/>
      <c r="BR4" s="2"/>
      <c r="BS4" s="2"/>
    </row>
    <row r="5" spans="1:71" ht="13.5" customHeight="1" x14ac:dyDescent="0.25">
      <c r="A5" s="17">
        <v>5</v>
      </c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9"/>
      <c r="BB5" s="17">
        <v>5</v>
      </c>
      <c r="BC5" s="16">
        <v>21</v>
      </c>
      <c r="BD5" s="16">
        <v>18</v>
      </c>
      <c r="BE5" s="39"/>
      <c r="BF5" s="39">
        <v>74</v>
      </c>
      <c r="BG5" s="40"/>
      <c r="BH5" s="40"/>
      <c r="BI5" s="40"/>
      <c r="BJ5" s="40"/>
      <c r="BK5" s="40"/>
      <c r="BL5" s="40"/>
      <c r="BM5" s="40"/>
      <c r="BN5" s="41"/>
      <c r="BO5" s="3"/>
      <c r="BP5" s="3"/>
      <c r="BQ5" s="3"/>
      <c r="BR5" s="3"/>
      <c r="BS5" s="2"/>
    </row>
    <row r="6" spans="1:71" ht="13.5" customHeight="1" x14ac:dyDescent="0.25">
      <c r="A6" s="17">
        <v>6</v>
      </c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9"/>
      <c r="BB6" s="17">
        <v>6</v>
      </c>
      <c r="BC6" s="42">
        <v>2</v>
      </c>
      <c r="BD6" s="42">
        <v>262144</v>
      </c>
      <c r="BE6" s="57" t="str">
        <f>LEFT( T1,1)</f>
        <v>O</v>
      </c>
      <c r="BF6" s="57"/>
      <c r="BG6" s="57"/>
      <c r="BH6" s="57"/>
      <c r="BI6" s="57"/>
      <c r="BJ6" s="57"/>
      <c r="BK6" s="57"/>
      <c r="BL6" s="58" t="str">
        <f>IF(BE6="O","X","O")</f>
        <v>X</v>
      </c>
      <c r="BM6" s="58"/>
      <c r="BN6" s="58"/>
      <c r="BO6" s="58"/>
      <c r="BP6" s="58"/>
      <c r="BQ6" s="58"/>
      <c r="BR6" s="58"/>
      <c r="BS6" s="2"/>
    </row>
    <row r="7" spans="1:71" ht="13.5" customHeight="1" x14ac:dyDescent="0.25">
      <c r="A7" s="17">
        <v>7</v>
      </c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9"/>
      <c r="BB7" s="17">
        <v>7</v>
      </c>
      <c r="BC7" s="43" t="s">
        <v>29</v>
      </c>
      <c r="BD7" s="43" t="s">
        <v>10</v>
      </c>
      <c r="BE7" s="44" t="s">
        <v>29</v>
      </c>
      <c r="BF7" s="45">
        <v>1</v>
      </c>
      <c r="BG7" s="45">
        <v>2</v>
      </c>
      <c r="BH7" s="45">
        <v>3</v>
      </c>
      <c r="BI7" s="45" t="s">
        <v>17</v>
      </c>
      <c r="BJ7" s="43" t="s">
        <v>9</v>
      </c>
      <c r="BK7" s="43" t="s">
        <v>8</v>
      </c>
      <c r="BL7" s="44" t="s">
        <v>29</v>
      </c>
      <c r="BM7" s="45">
        <v>1</v>
      </c>
      <c r="BN7" s="45">
        <v>2</v>
      </c>
      <c r="BO7" s="45">
        <v>3</v>
      </c>
      <c r="BP7" s="45" t="s">
        <v>17</v>
      </c>
      <c r="BQ7" s="43" t="s">
        <v>9</v>
      </c>
      <c r="BR7" s="43" t="s">
        <v>8</v>
      </c>
      <c r="BS7" s="54" t="s">
        <v>28</v>
      </c>
    </row>
    <row r="8" spans="1:71" ht="13.5" customHeight="1" x14ac:dyDescent="0.25">
      <c r="A8" s="17">
        <v>8</v>
      </c>
      <c r="B8" s="7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9"/>
      <c r="BB8" s="17">
        <v>8</v>
      </c>
      <c r="BC8" t="s">
        <v>45</v>
      </c>
      <c r="BD8">
        <f>MAX(SUMIF($BJ$8:$BJ$63,BC8,$BK$8:$BK$63),SUMIF($BQ$8:$BQ$71,BC8,$BR$8:$BR$71))</f>
        <v>512</v>
      </c>
      <c r="BE8" t="s">
        <v>44</v>
      </c>
      <c r="BF8">
        <v>181</v>
      </c>
      <c r="BG8" s="68" t="s">
        <v>31</v>
      </c>
      <c r="BH8" t="s">
        <v>131</v>
      </c>
      <c r="BI8">
        <v>2.5</v>
      </c>
      <c r="BJ8" t="s">
        <v>44</v>
      </c>
      <c r="BK8">
        <f>SUMIF($BE$8:$BE$63,BJ8,$BF$8:$BF$63)</f>
        <v>181</v>
      </c>
      <c r="BL8" t="s">
        <v>45</v>
      </c>
      <c r="BM8">
        <v>512</v>
      </c>
      <c r="BN8" s="68" t="s">
        <v>41</v>
      </c>
      <c r="BO8" t="s">
        <v>134</v>
      </c>
      <c r="BP8">
        <v>3</v>
      </c>
      <c r="BQ8" t="s">
        <v>45</v>
      </c>
      <c r="BR8">
        <f>SUMIF($BL$8:$BL$71,BQ8,$BM$8:$BM$71)</f>
        <v>512</v>
      </c>
      <c r="BS8" t="s">
        <v>146</v>
      </c>
    </row>
    <row r="9" spans="1:71" ht="13.5" customHeight="1" x14ac:dyDescent="0.25">
      <c r="A9" s="17">
        <v>9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9"/>
      <c r="BB9" s="17">
        <v>9</v>
      </c>
      <c r="BC9" t="s">
        <v>42</v>
      </c>
      <c r="BD9">
        <f t="shared" ref="BD9:BD67" si="0">MAX(SUMIF($BJ$8:$BJ$63,BC9,$BK$8:$BK$63),SUMIF($BQ$8:$BQ$71,BC9,$BR$8:$BR$71))</f>
        <v>181</v>
      </c>
      <c r="BE9" t="s">
        <v>37</v>
      </c>
      <c r="BF9">
        <v>181</v>
      </c>
      <c r="BG9" s="68" t="s">
        <v>31</v>
      </c>
      <c r="BH9" t="s">
        <v>157</v>
      </c>
      <c r="BI9">
        <v>2.5</v>
      </c>
      <c r="BJ9" t="s">
        <v>37</v>
      </c>
      <c r="BK9">
        <f t="shared" ref="BK9:BK51" si="1">SUMIF($BE$8:$BE$63,BJ9,$BF$8:$BF$63)</f>
        <v>181</v>
      </c>
      <c r="BL9" t="s">
        <v>42</v>
      </c>
      <c r="BM9">
        <v>181</v>
      </c>
      <c r="BN9" s="68" t="s">
        <v>31</v>
      </c>
      <c r="BO9" t="s">
        <v>158</v>
      </c>
      <c r="BP9">
        <v>2.5</v>
      </c>
      <c r="BQ9" t="s">
        <v>42</v>
      </c>
      <c r="BR9">
        <f t="shared" ref="BR9:BR53" si="2">SUMIF($BL$8:$BL$71,BQ9,$BM$8:$BM$71)</f>
        <v>181</v>
      </c>
      <c r="BS9" t="s">
        <v>147</v>
      </c>
    </row>
    <row r="10" spans="1:71" ht="13.5" customHeight="1" x14ac:dyDescent="0.25">
      <c r="A10" s="17">
        <v>10</v>
      </c>
      <c r="B10" s="7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9"/>
      <c r="BB10" s="17">
        <v>10</v>
      </c>
      <c r="BC10" t="s">
        <v>38</v>
      </c>
      <c r="BD10">
        <f t="shared" si="0"/>
        <v>4096</v>
      </c>
      <c r="BE10" t="s">
        <v>52</v>
      </c>
      <c r="BF10">
        <v>4096</v>
      </c>
      <c r="BG10" s="68" t="s">
        <v>48</v>
      </c>
      <c r="BH10" t="s">
        <v>133</v>
      </c>
      <c r="BI10">
        <v>4</v>
      </c>
      <c r="BJ10" t="s">
        <v>52</v>
      </c>
      <c r="BK10">
        <f t="shared" si="1"/>
        <v>5544</v>
      </c>
      <c r="BL10" t="s">
        <v>38</v>
      </c>
      <c r="BM10">
        <v>4096</v>
      </c>
      <c r="BN10" s="68" t="s">
        <v>32</v>
      </c>
      <c r="BO10" t="s">
        <v>159</v>
      </c>
      <c r="BP10">
        <v>4</v>
      </c>
      <c r="BQ10" t="s">
        <v>38</v>
      </c>
      <c r="BR10">
        <f t="shared" si="2"/>
        <v>4096</v>
      </c>
      <c r="BS10" t="s">
        <v>149</v>
      </c>
    </row>
    <row r="11" spans="1:71" ht="13.5" customHeight="1" x14ac:dyDescent="0.25">
      <c r="A11" s="17">
        <v>11</v>
      </c>
      <c r="B11" s="7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9"/>
      <c r="BB11" s="17">
        <v>11</v>
      </c>
      <c r="BC11" t="s">
        <v>44</v>
      </c>
      <c r="BD11">
        <f t="shared" si="0"/>
        <v>4096</v>
      </c>
      <c r="BE11" t="s">
        <v>52</v>
      </c>
      <c r="BF11">
        <v>1448</v>
      </c>
      <c r="BG11" s="68" t="s">
        <v>34</v>
      </c>
      <c r="BH11" t="s">
        <v>67</v>
      </c>
      <c r="BI11">
        <v>3.5</v>
      </c>
      <c r="BJ11" t="s">
        <v>50</v>
      </c>
      <c r="BK11">
        <f t="shared" si="1"/>
        <v>5725</v>
      </c>
      <c r="BL11" t="s">
        <v>44</v>
      </c>
      <c r="BM11">
        <v>4096</v>
      </c>
      <c r="BN11" s="68" t="s">
        <v>32</v>
      </c>
      <c r="BO11" t="s">
        <v>135</v>
      </c>
      <c r="BP11">
        <v>4</v>
      </c>
      <c r="BQ11" t="s">
        <v>44</v>
      </c>
      <c r="BR11">
        <f t="shared" si="2"/>
        <v>4096</v>
      </c>
      <c r="BS11" t="s">
        <v>150</v>
      </c>
    </row>
    <row r="12" spans="1:71" ht="13.5" customHeight="1" x14ac:dyDescent="0.25">
      <c r="A12" s="17">
        <v>12</v>
      </c>
      <c r="B12" s="7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 t="s">
        <v>0</v>
      </c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9"/>
      <c r="BB12" s="17">
        <v>12</v>
      </c>
      <c r="BC12" t="s">
        <v>37</v>
      </c>
      <c r="BD12">
        <f t="shared" si="0"/>
        <v>4096</v>
      </c>
      <c r="BE12" t="s">
        <v>50</v>
      </c>
      <c r="BF12">
        <v>4096</v>
      </c>
      <c r="BG12" s="68" t="s">
        <v>47</v>
      </c>
      <c r="BH12" t="s">
        <v>132</v>
      </c>
      <c r="BI12">
        <v>4</v>
      </c>
      <c r="BJ12" t="s">
        <v>49</v>
      </c>
      <c r="BK12">
        <f t="shared" si="1"/>
        <v>512</v>
      </c>
      <c r="BL12" t="s">
        <v>37</v>
      </c>
      <c r="BM12">
        <v>4096</v>
      </c>
      <c r="BN12" s="68" t="s">
        <v>32</v>
      </c>
      <c r="BO12" t="s">
        <v>160</v>
      </c>
      <c r="BP12">
        <v>4</v>
      </c>
      <c r="BQ12" t="s">
        <v>37</v>
      </c>
      <c r="BR12">
        <f t="shared" si="2"/>
        <v>4096</v>
      </c>
      <c r="BS12" t="s">
        <v>152</v>
      </c>
    </row>
    <row r="13" spans="1:71" ht="13.5" customHeight="1" x14ac:dyDescent="0.25">
      <c r="A13" s="17">
        <v>13</v>
      </c>
      <c r="B13" s="7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 t="s">
        <v>1</v>
      </c>
      <c r="W13" s="8"/>
      <c r="X13" s="8"/>
      <c r="Y13" s="8" t="s">
        <v>0</v>
      </c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9"/>
      <c r="BB13" s="17">
        <v>13</v>
      </c>
      <c r="BC13" t="s">
        <v>36</v>
      </c>
      <c r="BD13">
        <f t="shared" si="0"/>
        <v>4096</v>
      </c>
      <c r="BE13" t="s">
        <v>50</v>
      </c>
      <c r="BF13">
        <v>181</v>
      </c>
      <c r="BG13" s="68" t="s">
        <v>31</v>
      </c>
      <c r="BH13" t="s">
        <v>68</v>
      </c>
      <c r="BI13">
        <v>2.5</v>
      </c>
      <c r="BJ13" t="s">
        <v>76</v>
      </c>
      <c r="BK13">
        <f t="shared" si="1"/>
        <v>181</v>
      </c>
      <c r="BL13" t="s">
        <v>36</v>
      </c>
      <c r="BM13">
        <v>4096</v>
      </c>
      <c r="BN13" s="68" t="s">
        <v>32</v>
      </c>
      <c r="BO13" t="s">
        <v>168</v>
      </c>
      <c r="BP13">
        <v>4</v>
      </c>
      <c r="BQ13" t="s">
        <v>36</v>
      </c>
      <c r="BR13">
        <f t="shared" si="2"/>
        <v>4096</v>
      </c>
      <c r="BS13" t="s">
        <v>153</v>
      </c>
    </row>
    <row r="14" spans="1:71" ht="13.5" customHeight="1" x14ac:dyDescent="0.25">
      <c r="A14" s="17">
        <v>14</v>
      </c>
      <c r="B14" s="7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 t="s">
        <v>0</v>
      </c>
      <c r="V14" s="8" t="s">
        <v>1</v>
      </c>
      <c r="W14" s="8" t="s">
        <v>0</v>
      </c>
      <c r="X14" s="8" t="s">
        <v>1</v>
      </c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9"/>
      <c r="BB14" s="17">
        <v>14</v>
      </c>
      <c r="BC14" t="s">
        <v>35</v>
      </c>
      <c r="BD14">
        <f t="shared" si="0"/>
        <v>4096</v>
      </c>
      <c r="BE14" t="s">
        <v>50</v>
      </c>
      <c r="BF14">
        <v>1448</v>
      </c>
      <c r="BG14" s="68" t="s">
        <v>40</v>
      </c>
      <c r="BH14" t="s">
        <v>167</v>
      </c>
      <c r="BI14">
        <v>3.5</v>
      </c>
      <c r="BJ14" t="s">
        <v>57</v>
      </c>
      <c r="BK14">
        <f t="shared" si="1"/>
        <v>181</v>
      </c>
      <c r="BL14" t="s">
        <v>35</v>
      </c>
      <c r="BM14">
        <v>4096</v>
      </c>
      <c r="BN14" s="68" t="s">
        <v>32</v>
      </c>
      <c r="BO14" t="s">
        <v>126</v>
      </c>
      <c r="BP14">
        <v>4</v>
      </c>
      <c r="BQ14" t="s">
        <v>35</v>
      </c>
      <c r="BR14">
        <f t="shared" si="2"/>
        <v>4096</v>
      </c>
      <c r="BS14" t="s">
        <v>154</v>
      </c>
    </row>
    <row r="15" spans="1:71" ht="13.5" customHeight="1" x14ac:dyDescent="0.25">
      <c r="A15" s="17">
        <v>15</v>
      </c>
      <c r="B15" s="7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 t="s">
        <v>0</v>
      </c>
      <c r="V15" s="8" t="s">
        <v>1</v>
      </c>
      <c r="W15" s="8" t="s">
        <v>1</v>
      </c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9"/>
      <c r="BB15" s="17">
        <v>15</v>
      </c>
      <c r="BC15" t="s">
        <v>39</v>
      </c>
      <c r="BD15">
        <f t="shared" si="0"/>
        <v>181</v>
      </c>
      <c r="BE15" t="s">
        <v>49</v>
      </c>
      <c r="BF15">
        <v>512</v>
      </c>
      <c r="BG15" s="68" t="s">
        <v>41</v>
      </c>
      <c r="BH15" t="s">
        <v>75</v>
      </c>
      <c r="BI15">
        <v>3</v>
      </c>
      <c r="BJ15" t="s">
        <v>70</v>
      </c>
      <c r="BK15">
        <f t="shared" si="1"/>
        <v>2896</v>
      </c>
      <c r="BL15" t="s">
        <v>39</v>
      </c>
      <c r="BM15">
        <v>181</v>
      </c>
      <c r="BN15" s="68" t="s">
        <v>31</v>
      </c>
      <c r="BO15" t="s">
        <v>87</v>
      </c>
      <c r="BP15">
        <v>2.5</v>
      </c>
      <c r="BQ15" t="s">
        <v>39</v>
      </c>
      <c r="BR15">
        <f t="shared" si="2"/>
        <v>181</v>
      </c>
      <c r="BS15" t="s">
        <v>130</v>
      </c>
    </row>
    <row r="16" spans="1:71" ht="13.5" customHeight="1" x14ac:dyDescent="0.25">
      <c r="A16" s="17">
        <v>16</v>
      </c>
      <c r="B16" s="7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 t="s">
        <v>0</v>
      </c>
      <c r="U16" s="8" t="s">
        <v>1</v>
      </c>
      <c r="V16" s="8" t="s">
        <v>1</v>
      </c>
      <c r="W16" s="8" t="s">
        <v>0</v>
      </c>
      <c r="X16" s="8" t="s">
        <v>0</v>
      </c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9"/>
      <c r="BB16" s="17">
        <v>16</v>
      </c>
      <c r="BC16" t="s">
        <v>51</v>
      </c>
      <c r="BD16">
        <f t="shared" si="0"/>
        <v>181</v>
      </c>
      <c r="BE16" t="s">
        <v>76</v>
      </c>
      <c r="BF16">
        <v>181</v>
      </c>
      <c r="BG16" s="68" t="s">
        <v>31</v>
      </c>
      <c r="BH16" t="s">
        <v>77</v>
      </c>
      <c r="BI16">
        <v>2.5</v>
      </c>
      <c r="BJ16" t="s">
        <v>78</v>
      </c>
      <c r="BK16">
        <f t="shared" si="1"/>
        <v>512</v>
      </c>
      <c r="BL16" t="s">
        <v>51</v>
      </c>
      <c r="BM16">
        <v>181</v>
      </c>
      <c r="BN16" s="68" t="s">
        <v>31</v>
      </c>
      <c r="BO16" t="s">
        <v>140</v>
      </c>
      <c r="BP16">
        <v>2.5</v>
      </c>
      <c r="BQ16" t="s">
        <v>51</v>
      </c>
      <c r="BR16">
        <f t="shared" si="2"/>
        <v>181</v>
      </c>
      <c r="BS16" t="s">
        <v>155</v>
      </c>
    </row>
    <row r="17" spans="1:71" ht="13.5" customHeight="1" x14ac:dyDescent="0.25">
      <c r="A17" s="17">
        <v>17</v>
      </c>
      <c r="B17" s="7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 t="s">
        <v>1</v>
      </c>
      <c r="U17" s="8" t="s">
        <v>1</v>
      </c>
      <c r="V17" s="8" t="s">
        <v>0</v>
      </c>
      <c r="W17" s="8" t="s">
        <v>1</v>
      </c>
      <c r="X17" s="8" t="s">
        <v>1</v>
      </c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9"/>
      <c r="BB17" s="17">
        <v>17</v>
      </c>
      <c r="BC17" t="s">
        <v>52</v>
      </c>
      <c r="BD17">
        <f t="shared" si="0"/>
        <v>5544</v>
      </c>
      <c r="BE17" t="s">
        <v>57</v>
      </c>
      <c r="BF17">
        <v>181</v>
      </c>
      <c r="BG17" s="68" t="s">
        <v>31</v>
      </c>
      <c r="BH17" t="s">
        <v>151</v>
      </c>
      <c r="BI17">
        <v>2.5</v>
      </c>
      <c r="BJ17" t="s">
        <v>58</v>
      </c>
      <c r="BK17">
        <f t="shared" si="1"/>
        <v>1448</v>
      </c>
      <c r="BL17" t="s">
        <v>52</v>
      </c>
      <c r="BM17">
        <v>4096</v>
      </c>
      <c r="BN17" s="68" t="s">
        <v>32</v>
      </c>
      <c r="BO17" t="s">
        <v>56</v>
      </c>
      <c r="BP17">
        <v>4</v>
      </c>
      <c r="BQ17" t="s">
        <v>52</v>
      </c>
      <c r="BR17">
        <f t="shared" si="2"/>
        <v>5544</v>
      </c>
      <c r="BS17" t="s">
        <v>156</v>
      </c>
    </row>
    <row r="18" spans="1:71" ht="13.5" customHeight="1" x14ac:dyDescent="0.25">
      <c r="A18" s="17">
        <v>18</v>
      </c>
      <c r="B18" s="7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 t="s">
        <v>0</v>
      </c>
      <c r="T18" s="8" t="s">
        <v>0</v>
      </c>
      <c r="U18" s="8" t="s">
        <v>1</v>
      </c>
      <c r="V18" s="8" t="s">
        <v>1</v>
      </c>
      <c r="W18" s="8" t="s">
        <v>0</v>
      </c>
      <c r="X18" s="8" t="s">
        <v>0</v>
      </c>
      <c r="Y18" s="8"/>
      <c r="Z18" s="8" t="s">
        <v>1</v>
      </c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9"/>
      <c r="BB18" s="17">
        <v>18</v>
      </c>
      <c r="BC18" t="s">
        <v>50</v>
      </c>
      <c r="BD18">
        <f t="shared" si="0"/>
        <v>5725</v>
      </c>
      <c r="BE18" t="s">
        <v>70</v>
      </c>
      <c r="BF18">
        <v>1448</v>
      </c>
      <c r="BG18" s="68" t="s">
        <v>40</v>
      </c>
      <c r="BH18" t="s">
        <v>80</v>
      </c>
      <c r="BI18">
        <v>3.5</v>
      </c>
      <c r="BJ18" t="s">
        <v>82</v>
      </c>
      <c r="BK18">
        <f t="shared" si="1"/>
        <v>181</v>
      </c>
      <c r="BL18" t="s">
        <v>52</v>
      </c>
      <c r="BM18">
        <v>1448</v>
      </c>
      <c r="BN18" s="68" t="s">
        <v>34</v>
      </c>
      <c r="BO18" t="s">
        <v>59</v>
      </c>
      <c r="BP18">
        <v>3.5</v>
      </c>
      <c r="BQ18" t="s">
        <v>50</v>
      </c>
      <c r="BR18">
        <f t="shared" si="2"/>
        <v>1629</v>
      </c>
      <c r="BS18" t="s">
        <v>161</v>
      </c>
    </row>
    <row r="19" spans="1:71" ht="13.5" customHeight="1" x14ac:dyDescent="0.25">
      <c r="A19" s="17">
        <v>19</v>
      </c>
      <c r="B19" s="7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 t="s">
        <v>1</v>
      </c>
      <c r="U19" s="8" t="s">
        <v>1</v>
      </c>
      <c r="V19" s="8" t="s">
        <v>0</v>
      </c>
      <c r="W19" s="8" t="s">
        <v>1</v>
      </c>
      <c r="X19" s="8" t="s">
        <v>0</v>
      </c>
      <c r="Y19" s="8" t="s">
        <v>0</v>
      </c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9"/>
      <c r="BB19" s="17">
        <v>19</v>
      </c>
      <c r="BC19" t="s">
        <v>49</v>
      </c>
      <c r="BD19">
        <f t="shared" si="0"/>
        <v>4277</v>
      </c>
      <c r="BE19" t="s">
        <v>70</v>
      </c>
      <c r="BF19">
        <v>1448</v>
      </c>
      <c r="BG19" s="68" t="s">
        <v>34</v>
      </c>
      <c r="BH19" t="s">
        <v>71</v>
      </c>
      <c r="BI19">
        <v>3.5</v>
      </c>
      <c r="BJ19" t="s">
        <v>62</v>
      </c>
      <c r="BK19">
        <f t="shared" si="1"/>
        <v>1448</v>
      </c>
      <c r="BL19" t="s">
        <v>50</v>
      </c>
      <c r="BM19">
        <v>1448</v>
      </c>
      <c r="BN19" s="68" t="s">
        <v>40</v>
      </c>
      <c r="BO19" t="s">
        <v>55</v>
      </c>
      <c r="BP19">
        <v>3.5</v>
      </c>
      <c r="BQ19" t="s">
        <v>49</v>
      </c>
      <c r="BR19">
        <f t="shared" si="2"/>
        <v>4277</v>
      </c>
      <c r="BS19" t="s">
        <v>136</v>
      </c>
    </row>
    <row r="20" spans="1:71" ht="13.5" customHeight="1" x14ac:dyDescent="0.25">
      <c r="A20" s="17">
        <v>20</v>
      </c>
      <c r="B20" s="7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46"/>
      <c r="T20" s="8" t="s">
        <v>0</v>
      </c>
      <c r="U20" s="8" t="s">
        <v>0</v>
      </c>
      <c r="V20" s="8" t="s">
        <v>1</v>
      </c>
      <c r="W20" s="8" t="s">
        <v>0</v>
      </c>
      <c r="X20" s="8" t="s">
        <v>0</v>
      </c>
      <c r="Y20" s="8" t="s">
        <v>1</v>
      </c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9"/>
      <c r="BB20" s="17">
        <v>20</v>
      </c>
      <c r="BC20" t="s">
        <v>86</v>
      </c>
      <c r="BD20">
        <f t="shared" si="0"/>
        <v>4096</v>
      </c>
      <c r="BE20" t="s">
        <v>78</v>
      </c>
      <c r="BF20">
        <v>512</v>
      </c>
      <c r="BG20" s="68" t="s">
        <v>41</v>
      </c>
      <c r="BH20" t="s">
        <v>79</v>
      </c>
      <c r="BI20">
        <v>3</v>
      </c>
      <c r="BJ20" t="s">
        <v>85</v>
      </c>
      <c r="BK20">
        <f t="shared" si="1"/>
        <v>2896</v>
      </c>
      <c r="BL20" t="s">
        <v>50</v>
      </c>
      <c r="BM20">
        <v>181</v>
      </c>
      <c r="BN20" s="68" t="s">
        <v>31</v>
      </c>
      <c r="BO20" t="s">
        <v>129</v>
      </c>
      <c r="BP20">
        <v>2.5</v>
      </c>
      <c r="BQ20" t="s">
        <v>86</v>
      </c>
      <c r="BR20">
        <f t="shared" si="2"/>
        <v>4096</v>
      </c>
      <c r="BS20" t="s">
        <v>164</v>
      </c>
    </row>
    <row r="21" spans="1:71" ht="13.5" customHeight="1" x14ac:dyDescent="0.25">
      <c r="A21" s="17">
        <v>21</v>
      </c>
      <c r="B21" s="7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69" t="s">
        <v>1</v>
      </c>
      <c r="S21" s="8"/>
      <c r="T21" s="8" t="s">
        <v>0</v>
      </c>
      <c r="U21" s="8" t="s">
        <v>1</v>
      </c>
      <c r="V21" s="8" t="s">
        <v>1</v>
      </c>
      <c r="W21" s="8" t="s">
        <v>0</v>
      </c>
      <c r="X21" s="8" t="s">
        <v>0</v>
      </c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9"/>
      <c r="BB21" s="17">
        <v>21</v>
      </c>
      <c r="BC21" t="s">
        <v>53</v>
      </c>
      <c r="BD21">
        <f t="shared" si="0"/>
        <v>362</v>
      </c>
      <c r="BE21" t="s">
        <v>58</v>
      </c>
      <c r="BF21">
        <v>1448</v>
      </c>
      <c r="BG21" s="68" t="s">
        <v>34</v>
      </c>
      <c r="BH21" t="s">
        <v>65</v>
      </c>
      <c r="BI21">
        <v>3.5</v>
      </c>
      <c r="BJ21" t="s">
        <v>84</v>
      </c>
      <c r="BK21">
        <f t="shared" si="1"/>
        <v>4096</v>
      </c>
      <c r="BL21" t="s">
        <v>49</v>
      </c>
      <c r="BM21">
        <v>4096</v>
      </c>
      <c r="BN21" s="68" t="s">
        <v>47</v>
      </c>
      <c r="BO21" t="s">
        <v>90</v>
      </c>
      <c r="BP21">
        <v>4</v>
      </c>
      <c r="BQ21" t="s">
        <v>53</v>
      </c>
      <c r="BR21">
        <f t="shared" si="2"/>
        <v>362</v>
      </c>
      <c r="BS21" t="s">
        <v>165</v>
      </c>
    </row>
    <row r="22" spans="1:71" ht="13.5" customHeight="1" x14ac:dyDescent="0.25">
      <c r="A22" s="17">
        <v>22</v>
      </c>
      <c r="B22" s="7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69" t="s">
        <v>1</v>
      </c>
      <c r="T22" s="8" t="s">
        <v>0</v>
      </c>
      <c r="U22" s="67" t="s">
        <v>0</v>
      </c>
      <c r="V22" s="8" t="s">
        <v>0</v>
      </c>
      <c r="W22" s="8"/>
      <c r="X22" s="8" t="s">
        <v>1</v>
      </c>
      <c r="Y22" s="8" t="s">
        <v>0</v>
      </c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9"/>
      <c r="BB22" s="17">
        <v>22</v>
      </c>
      <c r="BC22" t="s">
        <v>76</v>
      </c>
      <c r="BD22">
        <f t="shared" si="0"/>
        <v>4096</v>
      </c>
      <c r="BE22" t="s">
        <v>82</v>
      </c>
      <c r="BF22">
        <v>181</v>
      </c>
      <c r="BG22" s="68" t="s">
        <v>31</v>
      </c>
      <c r="BH22" t="s">
        <v>179</v>
      </c>
      <c r="BI22">
        <v>2.5</v>
      </c>
      <c r="BJ22" t="s">
        <v>83</v>
      </c>
      <c r="BK22">
        <f t="shared" si="1"/>
        <v>181</v>
      </c>
      <c r="BL22" t="s">
        <v>49</v>
      </c>
      <c r="BM22">
        <v>181</v>
      </c>
      <c r="BN22" s="68" t="s">
        <v>31</v>
      </c>
      <c r="BO22" t="s">
        <v>72</v>
      </c>
      <c r="BP22">
        <v>2.5</v>
      </c>
      <c r="BQ22" t="s">
        <v>76</v>
      </c>
      <c r="BR22">
        <f t="shared" si="2"/>
        <v>4096</v>
      </c>
      <c r="BS22" t="s">
        <v>74</v>
      </c>
    </row>
    <row r="23" spans="1:71" ht="13.5" customHeight="1" x14ac:dyDescent="0.25">
      <c r="A23" s="17">
        <v>23</v>
      </c>
      <c r="B23" s="7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 t="s">
        <v>0</v>
      </c>
      <c r="T23" s="69" t="s">
        <v>1</v>
      </c>
      <c r="U23" s="8" t="s">
        <v>1</v>
      </c>
      <c r="V23" s="53"/>
      <c r="W23" s="8"/>
      <c r="X23" s="8"/>
      <c r="Y23" s="8"/>
      <c r="Z23" s="8" t="s">
        <v>1</v>
      </c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9"/>
      <c r="BB23" s="17">
        <v>23</v>
      </c>
      <c r="BC23" t="s">
        <v>81</v>
      </c>
      <c r="BD23">
        <f t="shared" si="0"/>
        <v>4096</v>
      </c>
      <c r="BE23" t="s">
        <v>62</v>
      </c>
      <c r="BF23">
        <v>1448</v>
      </c>
      <c r="BG23" s="68" t="s">
        <v>34</v>
      </c>
      <c r="BH23" t="s">
        <v>66</v>
      </c>
      <c r="BI23">
        <v>3.5</v>
      </c>
      <c r="BJ23" t="s">
        <v>94</v>
      </c>
      <c r="BK23">
        <f t="shared" si="1"/>
        <v>1629</v>
      </c>
      <c r="BL23" t="s">
        <v>86</v>
      </c>
      <c r="BM23">
        <v>4096</v>
      </c>
      <c r="BN23" s="68" t="s">
        <v>48</v>
      </c>
      <c r="BO23" t="s">
        <v>88</v>
      </c>
      <c r="BP23">
        <v>4</v>
      </c>
      <c r="BQ23" t="s">
        <v>81</v>
      </c>
      <c r="BR23">
        <f t="shared" si="2"/>
        <v>4096</v>
      </c>
      <c r="BS23" t="s">
        <v>166</v>
      </c>
    </row>
    <row r="24" spans="1:71" ht="13.5" customHeight="1" x14ac:dyDescent="0.25">
      <c r="A24" s="17">
        <v>24</v>
      </c>
      <c r="B24" s="7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69" t="s">
        <v>1</v>
      </c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9"/>
      <c r="BB24" s="17">
        <v>24</v>
      </c>
      <c r="BC24" t="s">
        <v>54</v>
      </c>
      <c r="BD24">
        <f t="shared" si="0"/>
        <v>181</v>
      </c>
      <c r="BE24" t="s">
        <v>85</v>
      </c>
      <c r="BF24">
        <v>1448</v>
      </c>
      <c r="BG24" s="68" t="s">
        <v>34</v>
      </c>
      <c r="BH24" t="s">
        <v>180</v>
      </c>
      <c r="BI24">
        <v>3.5</v>
      </c>
      <c r="BJ24" t="s">
        <v>91</v>
      </c>
      <c r="BK24">
        <f t="shared" si="1"/>
        <v>512</v>
      </c>
      <c r="BL24" t="s">
        <v>53</v>
      </c>
      <c r="BM24">
        <v>181</v>
      </c>
      <c r="BN24" s="68" t="s">
        <v>31</v>
      </c>
      <c r="BO24" t="s">
        <v>148</v>
      </c>
      <c r="BP24">
        <v>2.5</v>
      </c>
      <c r="BQ24" t="s">
        <v>54</v>
      </c>
      <c r="BR24">
        <f t="shared" si="2"/>
        <v>181</v>
      </c>
      <c r="BS24" t="s">
        <v>169</v>
      </c>
    </row>
    <row r="25" spans="1:71" ht="13.5" customHeight="1" x14ac:dyDescent="0.25">
      <c r="A25" s="17">
        <v>25</v>
      </c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69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9"/>
      <c r="BB25" s="17">
        <v>25</v>
      </c>
      <c r="BC25" t="s">
        <v>57</v>
      </c>
      <c r="BD25">
        <f t="shared" si="0"/>
        <v>543</v>
      </c>
      <c r="BE25" t="s">
        <v>85</v>
      </c>
      <c r="BF25">
        <v>1448</v>
      </c>
      <c r="BG25" s="68" t="s">
        <v>40</v>
      </c>
      <c r="BH25" t="s">
        <v>95</v>
      </c>
      <c r="BI25">
        <v>3.5</v>
      </c>
      <c r="BJ25" t="s">
        <v>101</v>
      </c>
      <c r="BK25">
        <f t="shared" si="1"/>
        <v>1448</v>
      </c>
      <c r="BL25" t="s">
        <v>53</v>
      </c>
      <c r="BM25">
        <v>181</v>
      </c>
      <c r="BN25" s="68" t="s">
        <v>31</v>
      </c>
      <c r="BO25" t="s">
        <v>138</v>
      </c>
      <c r="BP25">
        <v>2.5</v>
      </c>
      <c r="BQ25" t="s">
        <v>57</v>
      </c>
      <c r="BR25">
        <f t="shared" si="2"/>
        <v>543</v>
      </c>
      <c r="BS25" t="s">
        <v>128</v>
      </c>
    </row>
    <row r="26" spans="1:71" ht="13.5" customHeight="1" x14ac:dyDescent="0.25">
      <c r="A26" s="17">
        <v>26</v>
      </c>
      <c r="B26" s="7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9"/>
      <c r="BB26" s="17">
        <v>26</v>
      </c>
      <c r="BC26" t="s">
        <v>70</v>
      </c>
      <c r="BD26">
        <f t="shared" si="0"/>
        <v>2896</v>
      </c>
      <c r="BE26" t="s">
        <v>84</v>
      </c>
      <c r="BF26">
        <v>4096</v>
      </c>
      <c r="BG26" s="68" t="s">
        <v>32</v>
      </c>
      <c r="BH26" t="s">
        <v>209</v>
      </c>
      <c r="BI26">
        <v>4</v>
      </c>
      <c r="BJ26" t="s">
        <v>93</v>
      </c>
      <c r="BK26">
        <f t="shared" si="1"/>
        <v>4277</v>
      </c>
      <c r="BL26" t="s">
        <v>76</v>
      </c>
      <c r="BM26">
        <v>4096</v>
      </c>
      <c r="BN26" s="68" t="s">
        <v>32</v>
      </c>
      <c r="BO26" t="s">
        <v>127</v>
      </c>
      <c r="BP26">
        <v>4</v>
      </c>
      <c r="BQ26" t="s">
        <v>70</v>
      </c>
      <c r="BR26">
        <f t="shared" si="2"/>
        <v>1629</v>
      </c>
      <c r="BS26" t="s">
        <v>170</v>
      </c>
    </row>
    <row r="27" spans="1:71" ht="13.5" customHeight="1" x14ac:dyDescent="0.25">
      <c r="A27" s="17">
        <v>27</v>
      </c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9"/>
      <c r="BB27" s="17">
        <v>27</v>
      </c>
      <c r="BC27" t="s">
        <v>78</v>
      </c>
      <c r="BD27">
        <f t="shared" si="0"/>
        <v>512</v>
      </c>
      <c r="BE27" t="s">
        <v>83</v>
      </c>
      <c r="BF27">
        <v>181</v>
      </c>
      <c r="BG27" s="68" t="s">
        <v>31</v>
      </c>
      <c r="BH27" t="s">
        <v>210</v>
      </c>
      <c r="BI27">
        <v>2.5</v>
      </c>
      <c r="BJ27" t="s">
        <v>92</v>
      </c>
      <c r="BK27">
        <f t="shared" si="1"/>
        <v>512</v>
      </c>
      <c r="BL27" t="s">
        <v>81</v>
      </c>
      <c r="BM27">
        <v>4096</v>
      </c>
      <c r="BN27" s="68" t="s">
        <v>32</v>
      </c>
      <c r="BO27" t="s">
        <v>89</v>
      </c>
      <c r="BP27">
        <v>4</v>
      </c>
      <c r="BQ27" t="s">
        <v>78</v>
      </c>
      <c r="BR27">
        <f t="shared" si="2"/>
        <v>181</v>
      </c>
      <c r="BS27" t="s">
        <v>171</v>
      </c>
    </row>
    <row r="28" spans="1:71" ht="13.5" customHeight="1" x14ac:dyDescent="0.25">
      <c r="A28" s="17">
        <v>28</v>
      </c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9"/>
      <c r="BB28" s="17">
        <v>28</v>
      </c>
      <c r="BC28" t="s">
        <v>58</v>
      </c>
      <c r="BD28">
        <f t="shared" si="0"/>
        <v>1448</v>
      </c>
      <c r="BE28" t="s">
        <v>94</v>
      </c>
      <c r="BF28">
        <v>181</v>
      </c>
      <c r="BG28" s="68" t="s">
        <v>31</v>
      </c>
      <c r="BH28" t="s">
        <v>181</v>
      </c>
      <c r="BI28">
        <v>2.5</v>
      </c>
      <c r="BJ28" t="s">
        <v>102</v>
      </c>
      <c r="BK28">
        <f t="shared" si="1"/>
        <v>1448</v>
      </c>
      <c r="BL28" t="s">
        <v>54</v>
      </c>
      <c r="BM28">
        <v>181</v>
      </c>
      <c r="BN28" s="68" t="s">
        <v>31</v>
      </c>
      <c r="BO28" t="s">
        <v>61</v>
      </c>
      <c r="BP28">
        <v>2.5</v>
      </c>
      <c r="BQ28" t="s">
        <v>58</v>
      </c>
      <c r="BR28">
        <f t="shared" si="2"/>
        <v>181</v>
      </c>
      <c r="BS28" t="s">
        <v>172</v>
      </c>
    </row>
    <row r="29" spans="1:71" ht="13.5" customHeight="1" x14ac:dyDescent="0.25">
      <c r="A29" s="17">
        <v>29</v>
      </c>
      <c r="B29" s="7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9"/>
      <c r="BB29" s="17">
        <v>29</v>
      </c>
      <c r="BC29" t="s">
        <v>82</v>
      </c>
      <c r="BD29">
        <f t="shared" si="0"/>
        <v>1448</v>
      </c>
      <c r="BE29" t="s">
        <v>94</v>
      </c>
      <c r="BF29">
        <v>1448</v>
      </c>
      <c r="BG29" s="68" t="s">
        <v>40</v>
      </c>
      <c r="BH29" t="s">
        <v>98</v>
      </c>
      <c r="BI29">
        <v>3.5</v>
      </c>
      <c r="BJ29" t="s">
        <v>113</v>
      </c>
      <c r="BK29">
        <f t="shared" si="1"/>
        <v>181</v>
      </c>
      <c r="BL29" t="s">
        <v>57</v>
      </c>
      <c r="BM29">
        <v>181</v>
      </c>
      <c r="BN29" s="68" t="s">
        <v>31</v>
      </c>
      <c r="BO29" t="s">
        <v>60</v>
      </c>
      <c r="BP29">
        <v>2.5</v>
      </c>
      <c r="BQ29" t="s">
        <v>82</v>
      </c>
      <c r="BR29">
        <f t="shared" si="2"/>
        <v>1448</v>
      </c>
      <c r="BS29" t="s">
        <v>173</v>
      </c>
    </row>
    <row r="30" spans="1:71" ht="13.5" customHeight="1" thickBot="1" x14ac:dyDescent="0.3">
      <c r="A30" s="17">
        <v>30</v>
      </c>
      <c r="B30" s="10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2"/>
      <c r="BB30" s="17">
        <v>30</v>
      </c>
      <c r="BC30" t="s">
        <v>69</v>
      </c>
      <c r="BD30">
        <f t="shared" si="0"/>
        <v>181</v>
      </c>
      <c r="BE30" t="s">
        <v>91</v>
      </c>
      <c r="BF30">
        <v>512</v>
      </c>
      <c r="BG30" s="68" t="s">
        <v>41</v>
      </c>
      <c r="BH30" t="s">
        <v>211</v>
      </c>
      <c r="BI30">
        <v>3</v>
      </c>
      <c r="BJ30" t="s">
        <v>104</v>
      </c>
      <c r="BK30">
        <f t="shared" si="1"/>
        <v>262144</v>
      </c>
      <c r="BL30" t="s">
        <v>57</v>
      </c>
      <c r="BM30">
        <v>181</v>
      </c>
      <c r="BN30" s="68" t="s">
        <v>31</v>
      </c>
      <c r="BO30" t="s">
        <v>139</v>
      </c>
      <c r="BP30">
        <v>2.5</v>
      </c>
      <c r="BQ30" t="s">
        <v>69</v>
      </c>
      <c r="BR30">
        <f t="shared" si="2"/>
        <v>181</v>
      </c>
      <c r="BS30" t="s">
        <v>174</v>
      </c>
    </row>
    <row r="31" spans="1:71" ht="13.5" customHeight="1" x14ac:dyDescent="0.25">
      <c r="A31" s="17" t="s">
        <v>19</v>
      </c>
      <c r="B31" s="17">
        <v>2</v>
      </c>
      <c r="C31" s="17">
        <v>3</v>
      </c>
      <c r="D31" s="17">
        <v>4</v>
      </c>
      <c r="E31" s="17">
        <v>5</v>
      </c>
      <c r="F31" s="17">
        <v>6</v>
      </c>
      <c r="G31" s="17">
        <v>7</v>
      </c>
      <c r="H31" s="17">
        <v>8</v>
      </c>
      <c r="I31" s="17">
        <v>9</v>
      </c>
      <c r="J31" s="17">
        <v>10</v>
      </c>
      <c r="K31" s="17">
        <v>11</v>
      </c>
      <c r="L31" s="17">
        <v>12</v>
      </c>
      <c r="M31" s="17">
        <v>13</v>
      </c>
      <c r="N31" s="17">
        <v>14</v>
      </c>
      <c r="O31" s="17">
        <v>15</v>
      </c>
      <c r="P31" s="17">
        <v>16</v>
      </c>
      <c r="Q31" s="17">
        <v>17</v>
      </c>
      <c r="R31" s="17">
        <v>18</v>
      </c>
      <c r="S31" s="17">
        <v>19</v>
      </c>
      <c r="T31" s="17">
        <v>20</v>
      </c>
      <c r="U31" s="17">
        <v>21</v>
      </c>
      <c r="V31" s="17">
        <v>22</v>
      </c>
      <c r="W31" s="17">
        <v>23</v>
      </c>
      <c r="X31" s="17">
        <v>24</v>
      </c>
      <c r="Y31" s="17">
        <v>25</v>
      </c>
      <c r="Z31" s="17">
        <v>26</v>
      </c>
      <c r="AA31" s="17">
        <v>27</v>
      </c>
      <c r="AB31" s="17">
        <v>28</v>
      </c>
      <c r="AC31" s="17">
        <v>29</v>
      </c>
      <c r="AD31" s="17">
        <v>30</v>
      </c>
      <c r="AE31" s="17">
        <v>31</v>
      </c>
      <c r="AF31" s="17">
        <v>32</v>
      </c>
      <c r="AG31" s="17">
        <v>33</v>
      </c>
      <c r="AH31" s="17">
        <v>34</v>
      </c>
      <c r="AI31" s="17">
        <v>35</v>
      </c>
      <c r="AJ31" s="17">
        <v>36</v>
      </c>
      <c r="AK31" s="17">
        <v>37</v>
      </c>
      <c r="AL31" s="17">
        <v>38</v>
      </c>
      <c r="AM31" s="17">
        <v>39</v>
      </c>
      <c r="AN31" s="17">
        <v>40</v>
      </c>
      <c r="AO31" s="17">
        <v>41</v>
      </c>
      <c r="AP31" s="17">
        <v>42</v>
      </c>
      <c r="AQ31" s="17">
        <v>43</v>
      </c>
      <c r="AR31" s="17">
        <v>44</v>
      </c>
      <c r="AS31" s="17">
        <v>45</v>
      </c>
      <c r="AT31" s="17">
        <v>46</v>
      </c>
      <c r="AU31" s="17">
        <v>47</v>
      </c>
      <c r="AV31" s="17">
        <v>48</v>
      </c>
      <c r="AW31" s="17">
        <v>49</v>
      </c>
      <c r="AX31" s="17">
        <v>50</v>
      </c>
      <c r="AY31" s="17">
        <v>51</v>
      </c>
      <c r="AZ31" s="17">
        <v>52</v>
      </c>
      <c r="BA31" s="17">
        <v>53</v>
      </c>
      <c r="BB31" s="17" t="s">
        <v>18</v>
      </c>
      <c r="BC31" t="s">
        <v>62</v>
      </c>
      <c r="BD31">
        <f t="shared" si="0"/>
        <v>5725</v>
      </c>
      <c r="BE31" t="s">
        <v>101</v>
      </c>
      <c r="BF31">
        <v>1448</v>
      </c>
      <c r="BG31" s="68" t="s">
        <v>34</v>
      </c>
      <c r="BH31" t="s">
        <v>176</v>
      </c>
      <c r="BI31">
        <v>3.5</v>
      </c>
      <c r="BJ31" t="s">
        <v>115</v>
      </c>
      <c r="BK31">
        <f t="shared" si="1"/>
        <v>4096</v>
      </c>
      <c r="BL31" t="s">
        <v>57</v>
      </c>
      <c r="BM31">
        <v>181</v>
      </c>
      <c r="BN31" s="68" t="s">
        <v>31</v>
      </c>
      <c r="BO31" t="s">
        <v>137</v>
      </c>
      <c r="BP31">
        <v>2.5</v>
      </c>
      <c r="BQ31" t="s">
        <v>62</v>
      </c>
      <c r="BR31">
        <f t="shared" si="2"/>
        <v>5725</v>
      </c>
      <c r="BS31" t="s">
        <v>175</v>
      </c>
    </row>
    <row r="32" spans="1:7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t="s">
        <v>85</v>
      </c>
      <c r="BD32">
        <f t="shared" si="0"/>
        <v>2896</v>
      </c>
      <c r="BE32" t="s">
        <v>93</v>
      </c>
      <c r="BF32">
        <v>4096</v>
      </c>
      <c r="BG32" s="68" t="s">
        <v>32</v>
      </c>
      <c r="BH32" t="s">
        <v>97</v>
      </c>
      <c r="BI32">
        <v>4</v>
      </c>
      <c r="BJ32" t="s">
        <v>117</v>
      </c>
      <c r="BK32">
        <f t="shared" si="1"/>
        <v>181</v>
      </c>
      <c r="BL32" t="s">
        <v>70</v>
      </c>
      <c r="BM32">
        <v>181</v>
      </c>
      <c r="BN32" s="68" t="s">
        <v>31</v>
      </c>
      <c r="BO32" t="s">
        <v>73</v>
      </c>
      <c r="BP32">
        <v>2.5</v>
      </c>
      <c r="BQ32" t="s">
        <v>85</v>
      </c>
      <c r="BR32">
        <f t="shared" si="2"/>
        <v>181</v>
      </c>
      <c r="BS32" t="s">
        <v>177</v>
      </c>
    </row>
    <row r="33" spans="1:71" ht="13.5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46" t="s">
        <v>26</v>
      </c>
      <c r="W33" s="48" t="s">
        <v>25</v>
      </c>
      <c r="X33" s="47" t="s">
        <v>22</v>
      </c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t="s">
        <v>84</v>
      </c>
      <c r="BD33">
        <f t="shared" si="0"/>
        <v>4096</v>
      </c>
      <c r="BE33" t="s">
        <v>93</v>
      </c>
      <c r="BF33">
        <v>181</v>
      </c>
      <c r="BG33" s="68" t="s">
        <v>31</v>
      </c>
      <c r="BH33" t="s">
        <v>119</v>
      </c>
      <c r="BI33">
        <v>2.5</v>
      </c>
      <c r="BJ33" t="s">
        <v>189</v>
      </c>
      <c r="BK33">
        <f t="shared" si="1"/>
        <v>181</v>
      </c>
      <c r="BL33" t="s">
        <v>70</v>
      </c>
      <c r="BM33">
        <v>1448</v>
      </c>
      <c r="BN33" s="68" t="s">
        <v>34</v>
      </c>
      <c r="BO33" t="s">
        <v>245</v>
      </c>
      <c r="BP33">
        <v>3.5</v>
      </c>
      <c r="BQ33" t="s">
        <v>99</v>
      </c>
      <c r="BR33">
        <f t="shared" si="2"/>
        <v>1448</v>
      </c>
      <c r="BS33" t="s">
        <v>178</v>
      </c>
    </row>
    <row r="34" spans="1:71" ht="15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51" t="s">
        <v>20</v>
      </c>
      <c r="W34" s="8"/>
      <c r="X34" s="52" t="s">
        <v>21</v>
      </c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t="s">
        <v>83</v>
      </c>
      <c r="BD34">
        <f t="shared" si="0"/>
        <v>181</v>
      </c>
      <c r="BE34" t="s">
        <v>92</v>
      </c>
      <c r="BF34">
        <v>512</v>
      </c>
      <c r="BG34" s="68" t="s">
        <v>41</v>
      </c>
      <c r="BH34" t="s">
        <v>96</v>
      </c>
      <c r="BI34">
        <v>3</v>
      </c>
      <c r="BJ34" t="s">
        <v>107</v>
      </c>
      <c r="BK34">
        <f t="shared" si="1"/>
        <v>181</v>
      </c>
      <c r="BL34" t="s">
        <v>78</v>
      </c>
      <c r="BM34">
        <v>181</v>
      </c>
      <c r="BN34" s="68" t="s">
        <v>31</v>
      </c>
      <c r="BO34" t="s">
        <v>162</v>
      </c>
      <c r="BP34">
        <v>2.5</v>
      </c>
      <c r="BQ34" t="s">
        <v>94</v>
      </c>
      <c r="BR34">
        <f t="shared" si="2"/>
        <v>1629</v>
      </c>
      <c r="BS34" t="s">
        <v>184</v>
      </c>
    </row>
    <row r="35" spans="1:71" ht="15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50" t="s">
        <v>27</v>
      </c>
      <c r="W35" s="49" t="s">
        <v>24</v>
      </c>
      <c r="X35" s="53" t="s">
        <v>23</v>
      </c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t="s">
        <v>99</v>
      </c>
      <c r="BD35">
        <f t="shared" si="0"/>
        <v>1448</v>
      </c>
      <c r="BE35" t="s">
        <v>102</v>
      </c>
      <c r="BF35">
        <v>1448</v>
      </c>
      <c r="BG35" s="68" t="s">
        <v>34</v>
      </c>
      <c r="BH35" t="s">
        <v>109</v>
      </c>
      <c r="BI35">
        <v>3.5</v>
      </c>
      <c r="BJ35" t="s">
        <v>118</v>
      </c>
      <c r="BK35">
        <f t="shared" si="1"/>
        <v>4096</v>
      </c>
      <c r="BL35" t="s">
        <v>58</v>
      </c>
      <c r="BM35">
        <v>181</v>
      </c>
      <c r="BN35" s="68" t="s">
        <v>31</v>
      </c>
      <c r="BO35" t="s">
        <v>64</v>
      </c>
      <c r="BP35">
        <v>2.5</v>
      </c>
      <c r="BQ35" t="s">
        <v>100</v>
      </c>
      <c r="BR35">
        <f t="shared" si="2"/>
        <v>181</v>
      </c>
      <c r="BS35" t="s">
        <v>185</v>
      </c>
    </row>
    <row r="36" spans="1:71" ht="16.5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t="s">
        <v>94</v>
      </c>
      <c r="BD36">
        <f t="shared" si="0"/>
        <v>1629</v>
      </c>
      <c r="BE36" t="s">
        <v>113</v>
      </c>
      <c r="BF36">
        <v>181</v>
      </c>
      <c r="BG36" s="68" t="s">
        <v>31</v>
      </c>
      <c r="BH36" t="s">
        <v>120</v>
      </c>
      <c r="BI36">
        <v>2.5</v>
      </c>
      <c r="BJ36" t="s">
        <v>122</v>
      </c>
      <c r="BK36">
        <f t="shared" si="1"/>
        <v>4096</v>
      </c>
      <c r="BL36" t="s">
        <v>82</v>
      </c>
      <c r="BM36">
        <v>1448</v>
      </c>
      <c r="BN36" s="68" t="s">
        <v>34</v>
      </c>
      <c r="BO36" t="s">
        <v>163</v>
      </c>
      <c r="BP36">
        <v>3.5</v>
      </c>
      <c r="BQ36" t="s">
        <v>101</v>
      </c>
      <c r="BR36">
        <f t="shared" si="2"/>
        <v>4458</v>
      </c>
      <c r="BS36" t="s">
        <v>192</v>
      </c>
    </row>
    <row r="37" spans="1:71" ht="15" customHeight="1" x14ac:dyDescent="0.25">
      <c r="BC37" t="s">
        <v>91</v>
      </c>
      <c r="BD37">
        <f t="shared" si="0"/>
        <v>512</v>
      </c>
      <c r="BE37" t="s">
        <v>104</v>
      </c>
      <c r="BF37">
        <v>262144</v>
      </c>
      <c r="BG37" s="68" t="s">
        <v>43</v>
      </c>
      <c r="BH37" t="s">
        <v>186</v>
      </c>
      <c r="BI37">
        <v>6</v>
      </c>
      <c r="BJ37" t="s">
        <v>187</v>
      </c>
      <c r="BK37">
        <f t="shared" si="1"/>
        <v>181</v>
      </c>
      <c r="BL37" t="s">
        <v>69</v>
      </c>
      <c r="BM37">
        <v>181</v>
      </c>
      <c r="BN37" s="68" t="s">
        <v>31</v>
      </c>
      <c r="BO37" t="s">
        <v>141</v>
      </c>
      <c r="BP37">
        <v>2.5</v>
      </c>
      <c r="BQ37" t="s">
        <v>93</v>
      </c>
      <c r="BR37">
        <f t="shared" si="2"/>
        <v>1448</v>
      </c>
      <c r="BS37" t="s">
        <v>193</v>
      </c>
    </row>
    <row r="38" spans="1:71" ht="15" customHeight="1" x14ac:dyDescent="0.25">
      <c r="BC38" t="s">
        <v>100</v>
      </c>
      <c r="BD38">
        <f t="shared" si="0"/>
        <v>181</v>
      </c>
      <c r="BE38" t="s">
        <v>115</v>
      </c>
      <c r="BF38">
        <v>4096</v>
      </c>
      <c r="BG38" s="68" t="s">
        <v>32</v>
      </c>
      <c r="BH38" t="s">
        <v>199</v>
      </c>
      <c r="BI38">
        <v>4</v>
      </c>
      <c r="BJ38" t="s">
        <v>214</v>
      </c>
      <c r="BK38">
        <f t="shared" si="1"/>
        <v>5544</v>
      </c>
      <c r="BL38" t="s">
        <v>62</v>
      </c>
      <c r="BM38">
        <v>1448</v>
      </c>
      <c r="BN38" s="68" t="s">
        <v>34</v>
      </c>
      <c r="BO38" t="s">
        <v>63</v>
      </c>
      <c r="BP38">
        <v>3.5</v>
      </c>
      <c r="BQ38" t="s">
        <v>102</v>
      </c>
      <c r="BR38">
        <f t="shared" si="2"/>
        <v>34216</v>
      </c>
      <c r="BS38" t="s">
        <v>194</v>
      </c>
    </row>
    <row r="39" spans="1:71" ht="15" customHeight="1" x14ac:dyDescent="0.25">
      <c r="BC39" t="s">
        <v>101</v>
      </c>
      <c r="BD39">
        <f t="shared" si="0"/>
        <v>4458</v>
      </c>
      <c r="BE39" t="s">
        <v>117</v>
      </c>
      <c r="BF39">
        <v>181</v>
      </c>
      <c r="BG39" s="68" t="s">
        <v>31</v>
      </c>
      <c r="BH39" t="s">
        <v>121</v>
      </c>
      <c r="BI39">
        <v>2.5</v>
      </c>
      <c r="BJ39" t="s">
        <v>203</v>
      </c>
      <c r="BK39">
        <f t="shared" si="1"/>
        <v>4096</v>
      </c>
      <c r="BL39" t="s">
        <v>62</v>
      </c>
      <c r="BM39">
        <v>4096</v>
      </c>
      <c r="BN39" s="68" t="s">
        <v>32</v>
      </c>
      <c r="BO39" t="s">
        <v>106</v>
      </c>
      <c r="BP39">
        <v>4</v>
      </c>
      <c r="BQ39" t="s">
        <v>113</v>
      </c>
      <c r="BR39">
        <f t="shared" si="2"/>
        <v>1448</v>
      </c>
      <c r="BS39" t="s">
        <v>195</v>
      </c>
    </row>
    <row r="40" spans="1:71" ht="15" customHeight="1" x14ac:dyDescent="0.25">
      <c r="BC40" t="s">
        <v>93</v>
      </c>
      <c r="BD40">
        <f t="shared" si="0"/>
        <v>4277</v>
      </c>
      <c r="BE40" t="s">
        <v>189</v>
      </c>
      <c r="BF40">
        <v>181</v>
      </c>
      <c r="BG40" s="68" t="s">
        <v>31</v>
      </c>
      <c r="BH40" t="s">
        <v>190</v>
      </c>
      <c r="BI40">
        <v>2.5</v>
      </c>
      <c r="BJ40" t="s">
        <v>201</v>
      </c>
      <c r="BK40">
        <f t="shared" si="1"/>
        <v>181</v>
      </c>
      <c r="BL40" t="s">
        <v>62</v>
      </c>
      <c r="BM40">
        <v>181</v>
      </c>
      <c r="BN40" s="68" t="s">
        <v>31</v>
      </c>
      <c r="BO40" t="s">
        <v>105</v>
      </c>
      <c r="BP40">
        <v>2.5</v>
      </c>
      <c r="BQ40" t="s">
        <v>103</v>
      </c>
      <c r="BR40">
        <f t="shared" si="2"/>
        <v>543</v>
      </c>
      <c r="BS40" t="s">
        <v>197</v>
      </c>
    </row>
    <row r="41" spans="1:71" ht="15" customHeight="1" x14ac:dyDescent="0.25">
      <c r="BC41" t="s">
        <v>92</v>
      </c>
      <c r="BD41">
        <f t="shared" si="0"/>
        <v>512</v>
      </c>
      <c r="BE41" t="s">
        <v>107</v>
      </c>
      <c r="BF41">
        <v>181</v>
      </c>
      <c r="BG41" s="68" t="s">
        <v>31</v>
      </c>
      <c r="BH41" t="s">
        <v>110</v>
      </c>
      <c r="BI41">
        <v>2.5</v>
      </c>
      <c r="BJ41" t="s">
        <v>124</v>
      </c>
      <c r="BK41">
        <f t="shared" si="1"/>
        <v>4277</v>
      </c>
      <c r="BL41" t="s">
        <v>85</v>
      </c>
      <c r="BM41">
        <v>181</v>
      </c>
      <c r="BN41" s="68" t="s">
        <v>31</v>
      </c>
      <c r="BO41" t="s">
        <v>242</v>
      </c>
      <c r="BP41">
        <v>2.5</v>
      </c>
      <c r="BQ41" t="s">
        <v>115</v>
      </c>
      <c r="BR41">
        <f t="shared" si="2"/>
        <v>3077</v>
      </c>
      <c r="BS41" t="s">
        <v>198</v>
      </c>
    </row>
    <row r="42" spans="1:71" ht="15" customHeight="1" x14ac:dyDescent="0.25">
      <c r="BC42" t="s">
        <v>102</v>
      </c>
      <c r="BD42">
        <f t="shared" si="0"/>
        <v>34216</v>
      </c>
      <c r="BE42" t="s">
        <v>118</v>
      </c>
      <c r="BF42">
        <v>4096</v>
      </c>
      <c r="BG42" s="68" t="s">
        <v>32</v>
      </c>
      <c r="BH42" t="s">
        <v>231</v>
      </c>
      <c r="BI42">
        <v>4</v>
      </c>
      <c r="BJ42" t="s">
        <v>123</v>
      </c>
      <c r="BK42">
        <f t="shared" si="1"/>
        <v>4096</v>
      </c>
      <c r="BL42" t="s">
        <v>99</v>
      </c>
      <c r="BM42">
        <v>1448</v>
      </c>
      <c r="BN42" s="68" t="s">
        <v>34</v>
      </c>
      <c r="BO42" t="s">
        <v>144</v>
      </c>
      <c r="BP42">
        <v>3.5</v>
      </c>
      <c r="BQ42" t="s">
        <v>117</v>
      </c>
      <c r="BR42">
        <f t="shared" si="2"/>
        <v>4096</v>
      </c>
      <c r="BS42" t="s">
        <v>205</v>
      </c>
    </row>
    <row r="43" spans="1:71" ht="15" customHeight="1" x14ac:dyDescent="0.25">
      <c r="BC43" t="s">
        <v>113</v>
      </c>
      <c r="BD43">
        <f t="shared" si="0"/>
        <v>1448</v>
      </c>
      <c r="BE43" t="s">
        <v>122</v>
      </c>
      <c r="BF43">
        <v>4096</v>
      </c>
      <c r="BG43" s="68" t="s">
        <v>32</v>
      </c>
      <c r="BH43" t="s">
        <v>232</v>
      </c>
      <c r="BI43">
        <v>4</v>
      </c>
      <c r="BJ43" t="s">
        <v>256</v>
      </c>
      <c r="BK43">
        <f t="shared" si="1"/>
        <v>181</v>
      </c>
      <c r="BL43" t="s">
        <v>94</v>
      </c>
      <c r="BM43">
        <v>1448</v>
      </c>
      <c r="BN43" s="68" t="s">
        <v>34</v>
      </c>
      <c r="BO43" t="s">
        <v>191</v>
      </c>
      <c r="BP43">
        <v>3.5</v>
      </c>
      <c r="BQ43" t="s">
        <v>189</v>
      </c>
      <c r="BR43">
        <f t="shared" si="2"/>
        <v>4096</v>
      </c>
      <c r="BS43" t="s">
        <v>206</v>
      </c>
    </row>
    <row r="44" spans="1:71" ht="15" customHeight="1" x14ac:dyDescent="0.25">
      <c r="BC44" t="s">
        <v>104</v>
      </c>
      <c r="BD44">
        <f t="shared" si="0"/>
        <v>262144</v>
      </c>
      <c r="BE44" t="s">
        <v>187</v>
      </c>
      <c r="BF44">
        <v>181</v>
      </c>
      <c r="BG44" s="68" t="s">
        <v>31</v>
      </c>
      <c r="BH44" t="s">
        <v>188</v>
      </c>
      <c r="BI44">
        <v>2.5</v>
      </c>
      <c r="BJ44" t="s">
        <v>220</v>
      </c>
      <c r="BK44">
        <f t="shared" si="1"/>
        <v>4458</v>
      </c>
      <c r="BL44" t="s">
        <v>94</v>
      </c>
      <c r="BM44">
        <v>181</v>
      </c>
      <c r="BN44" s="68" t="s">
        <v>31</v>
      </c>
      <c r="BO44" t="s">
        <v>111</v>
      </c>
      <c r="BP44">
        <v>2.5</v>
      </c>
      <c r="BQ44" t="s">
        <v>107</v>
      </c>
      <c r="BR44">
        <f t="shared" si="2"/>
        <v>1448</v>
      </c>
      <c r="BS44" t="s">
        <v>207</v>
      </c>
    </row>
    <row r="45" spans="1:71" ht="15" customHeight="1" x14ac:dyDescent="0.25">
      <c r="BC45" t="s">
        <v>103</v>
      </c>
      <c r="BD45">
        <f t="shared" si="0"/>
        <v>543</v>
      </c>
      <c r="BE45" t="s">
        <v>214</v>
      </c>
      <c r="BF45">
        <v>1448</v>
      </c>
      <c r="BG45" s="68" t="s">
        <v>34</v>
      </c>
      <c r="BH45" t="s">
        <v>217</v>
      </c>
      <c r="BI45">
        <v>3.5</v>
      </c>
      <c r="BJ45" t="s">
        <v>218</v>
      </c>
      <c r="BK45">
        <f t="shared" si="1"/>
        <v>4277</v>
      </c>
      <c r="BL45" t="s">
        <v>100</v>
      </c>
      <c r="BM45">
        <v>181</v>
      </c>
      <c r="BN45" s="68" t="s">
        <v>31</v>
      </c>
      <c r="BO45" t="s">
        <v>143</v>
      </c>
      <c r="BP45">
        <v>2.5</v>
      </c>
      <c r="BQ45" t="s">
        <v>118</v>
      </c>
      <c r="BR45">
        <f t="shared" si="2"/>
        <v>181</v>
      </c>
      <c r="BS45" t="s">
        <v>208</v>
      </c>
    </row>
    <row r="46" spans="1:71" ht="15" customHeight="1" x14ac:dyDescent="0.25">
      <c r="BC46" t="s">
        <v>115</v>
      </c>
      <c r="BD46">
        <f t="shared" si="0"/>
        <v>4096</v>
      </c>
      <c r="BE46" t="s">
        <v>214</v>
      </c>
      <c r="BF46">
        <v>4096</v>
      </c>
      <c r="BG46" s="68" t="s">
        <v>47</v>
      </c>
      <c r="BH46" t="s">
        <v>266</v>
      </c>
      <c r="BI46">
        <v>4</v>
      </c>
      <c r="BJ46" t="s">
        <v>238</v>
      </c>
      <c r="BK46">
        <f t="shared" si="1"/>
        <v>4096</v>
      </c>
      <c r="BL46" t="s">
        <v>101</v>
      </c>
      <c r="BM46">
        <v>4096</v>
      </c>
      <c r="BN46" s="68" t="s">
        <v>46</v>
      </c>
      <c r="BO46" t="s">
        <v>142</v>
      </c>
      <c r="BP46">
        <v>4</v>
      </c>
      <c r="BQ46" t="s">
        <v>187</v>
      </c>
      <c r="BR46">
        <f t="shared" si="2"/>
        <v>181</v>
      </c>
      <c r="BS46" t="s">
        <v>212</v>
      </c>
    </row>
    <row r="47" spans="1:71" ht="15" customHeight="1" x14ac:dyDescent="0.25">
      <c r="BC47" t="s">
        <v>117</v>
      </c>
      <c r="BD47">
        <f t="shared" si="0"/>
        <v>4096</v>
      </c>
      <c r="BE47" t="s">
        <v>203</v>
      </c>
      <c r="BF47">
        <v>4096</v>
      </c>
      <c r="BG47" s="68" t="s">
        <v>32</v>
      </c>
      <c r="BH47" t="s">
        <v>204</v>
      </c>
      <c r="BI47">
        <v>4</v>
      </c>
      <c r="BJ47" t="s">
        <v>236</v>
      </c>
      <c r="BK47">
        <f t="shared" si="1"/>
        <v>4096</v>
      </c>
      <c r="BL47" t="s">
        <v>101</v>
      </c>
      <c r="BM47">
        <v>181</v>
      </c>
      <c r="BN47" s="68" t="s">
        <v>31</v>
      </c>
      <c r="BO47" t="s">
        <v>145</v>
      </c>
      <c r="BP47">
        <v>2.5</v>
      </c>
      <c r="BQ47" t="s">
        <v>214</v>
      </c>
      <c r="BR47">
        <f t="shared" si="2"/>
        <v>32949</v>
      </c>
      <c r="BS47" t="s">
        <v>216</v>
      </c>
    </row>
    <row r="48" spans="1:71" ht="15" customHeight="1" x14ac:dyDescent="0.25">
      <c r="BC48" t="s">
        <v>189</v>
      </c>
      <c r="BD48">
        <f t="shared" si="0"/>
        <v>4096</v>
      </c>
      <c r="BE48" t="s">
        <v>201</v>
      </c>
      <c r="BF48">
        <v>181</v>
      </c>
      <c r="BG48" s="68" t="s">
        <v>31</v>
      </c>
      <c r="BH48" t="s">
        <v>202</v>
      </c>
      <c r="BI48">
        <v>2.5</v>
      </c>
      <c r="BJ48" t="s">
        <v>234</v>
      </c>
      <c r="BK48">
        <f t="shared" si="1"/>
        <v>181</v>
      </c>
      <c r="BL48" t="s">
        <v>101</v>
      </c>
      <c r="BM48">
        <v>181</v>
      </c>
      <c r="BN48" s="68" t="s">
        <v>31</v>
      </c>
      <c r="BO48" t="s">
        <v>248</v>
      </c>
      <c r="BP48">
        <v>2.5</v>
      </c>
      <c r="BQ48" t="s">
        <v>203</v>
      </c>
      <c r="BR48">
        <f t="shared" si="2"/>
        <v>181</v>
      </c>
      <c r="BS48" t="s">
        <v>222</v>
      </c>
    </row>
    <row r="49" spans="55:71" ht="15" customHeight="1" x14ac:dyDescent="0.25">
      <c r="BC49" t="s">
        <v>107</v>
      </c>
      <c r="BD49">
        <f t="shared" si="0"/>
        <v>1448</v>
      </c>
      <c r="BE49" t="s">
        <v>124</v>
      </c>
      <c r="BF49">
        <v>181</v>
      </c>
      <c r="BG49" s="68" t="s">
        <v>31</v>
      </c>
      <c r="BH49" t="s">
        <v>200</v>
      </c>
      <c r="BI49">
        <v>2.5</v>
      </c>
      <c r="BJ49" t="s">
        <v>272</v>
      </c>
      <c r="BK49">
        <f t="shared" si="1"/>
        <v>4096</v>
      </c>
      <c r="BL49" t="s">
        <v>93</v>
      </c>
      <c r="BM49">
        <v>1448</v>
      </c>
      <c r="BN49" s="68" t="s">
        <v>34</v>
      </c>
      <c r="BO49" t="s">
        <v>112</v>
      </c>
      <c r="BP49">
        <v>3.5</v>
      </c>
      <c r="BQ49" t="s">
        <v>201</v>
      </c>
      <c r="BR49">
        <f t="shared" si="2"/>
        <v>4096</v>
      </c>
      <c r="BS49" t="s">
        <v>223</v>
      </c>
    </row>
    <row r="50" spans="55:71" ht="15" customHeight="1" x14ac:dyDescent="0.25">
      <c r="BC50" t="s">
        <v>118</v>
      </c>
      <c r="BD50">
        <f t="shared" si="0"/>
        <v>4096</v>
      </c>
      <c r="BE50" t="s">
        <v>124</v>
      </c>
      <c r="BF50">
        <v>4096</v>
      </c>
      <c r="BG50" s="68" t="s">
        <v>32</v>
      </c>
      <c r="BH50" t="s">
        <v>240</v>
      </c>
      <c r="BI50">
        <v>4</v>
      </c>
      <c r="BJ50" t="s">
        <v>270</v>
      </c>
      <c r="BK50">
        <f t="shared" si="1"/>
        <v>1448</v>
      </c>
      <c r="BL50" t="s">
        <v>102</v>
      </c>
      <c r="BM50">
        <v>1448</v>
      </c>
      <c r="BN50" s="68" t="s">
        <v>34</v>
      </c>
      <c r="BO50" t="s">
        <v>250</v>
      </c>
      <c r="BP50">
        <v>3.5</v>
      </c>
      <c r="BQ50" t="s">
        <v>124</v>
      </c>
      <c r="BR50">
        <f t="shared" si="2"/>
        <v>512</v>
      </c>
      <c r="BS50" t="s">
        <v>224</v>
      </c>
    </row>
    <row r="51" spans="55:71" ht="15" customHeight="1" x14ac:dyDescent="0.25">
      <c r="BC51" t="s">
        <v>122</v>
      </c>
      <c r="BD51">
        <f t="shared" si="0"/>
        <v>4096</v>
      </c>
      <c r="BE51" t="s">
        <v>123</v>
      </c>
      <c r="BF51">
        <v>4096</v>
      </c>
      <c r="BG51" s="68" t="s">
        <v>32</v>
      </c>
      <c r="BH51" t="s">
        <v>233</v>
      </c>
      <c r="BI51">
        <v>4</v>
      </c>
      <c r="BJ51" t="s">
        <v>268</v>
      </c>
      <c r="BK51">
        <f t="shared" si="1"/>
        <v>262144</v>
      </c>
      <c r="BL51" t="s">
        <v>102</v>
      </c>
      <c r="BM51">
        <v>32768</v>
      </c>
      <c r="BN51" s="68" t="s">
        <v>33</v>
      </c>
      <c r="BO51" t="s">
        <v>182</v>
      </c>
      <c r="BP51">
        <v>5</v>
      </c>
      <c r="BQ51" t="s">
        <v>262</v>
      </c>
      <c r="BR51">
        <f t="shared" si="2"/>
        <v>1448</v>
      </c>
      <c r="BS51" t="s">
        <v>230</v>
      </c>
    </row>
    <row r="52" spans="55:71" ht="15" customHeight="1" x14ac:dyDescent="0.25">
      <c r="BC52" t="s">
        <v>187</v>
      </c>
      <c r="BD52">
        <f t="shared" si="0"/>
        <v>181</v>
      </c>
      <c r="BE52" t="s">
        <v>256</v>
      </c>
      <c r="BF52">
        <v>181</v>
      </c>
      <c r="BG52" s="68" t="s">
        <v>31</v>
      </c>
      <c r="BH52" t="s">
        <v>257</v>
      </c>
      <c r="BI52">
        <v>2.5</v>
      </c>
      <c r="BJ52"/>
      <c r="BK52"/>
      <c r="BL52" t="s">
        <v>113</v>
      </c>
      <c r="BM52">
        <v>1448</v>
      </c>
      <c r="BN52" s="68" t="s">
        <v>34</v>
      </c>
      <c r="BO52" t="s">
        <v>114</v>
      </c>
      <c r="BP52">
        <v>3.5</v>
      </c>
      <c r="BQ52" t="s">
        <v>256</v>
      </c>
      <c r="BR52">
        <f t="shared" si="2"/>
        <v>181</v>
      </c>
      <c r="BS52" t="s">
        <v>241</v>
      </c>
    </row>
    <row r="53" spans="55:71" ht="15" customHeight="1" x14ac:dyDescent="0.25">
      <c r="BC53" t="s">
        <v>214</v>
      </c>
      <c r="BD53">
        <f t="shared" si="0"/>
        <v>32949</v>
      </c>
      <c r="BE53" t="s">
        <v>220</v>
      </c>
      <c r="BF53">
        <v>181</v>
      </c>
      <c r="BG53" s="68" t="s">
        <v>31</v>
      </c>
      <c r="BH53" t="s">
        <v>255</v>
      </c>
      <c r="BI53">
        <v>2.5</v>
      </c>
      <c r="BJ53"/>
      <c r="BK53"/>
      <c r="BL53" t="s">
        <v>103</v>
      </c>
      <c r="BM53">
        <v>181</v>
      </c>
      <c r="BN53" s="68" t="s">
        <v>31</v>
      </c>
      <c r="BO53" t="s">
        <v>249</v>
      </c>
      <c r="BP53">
        <v>2.5</v>
      </c>
      <c r="BQ53" t="s">
        <v>220</v>
      </c>
      <c r="BR53">
        <f t="shared" si="2"/>
        <v>4096</v>
      </c>
      <c r="BS53" t="s">
        <v>243</v>
      </c>
    </row>
    <row r="54" spans="55:71" ht="15" customHeight="1" x14ac:dyDescent="0.25">
      <c r="BC54" t="s">
        <v>203</v>
      </c>
      <c r="BD54">
        <f t="shared" si="0"/>
        <v>4096</v>
      </c>
      <c r="BE54" t="s">
        <v>220</v>
      </c>
      <c r="BF54">
        <v>181</v>
      </c>
      <c r="BG54" s="68" t="s">
        <v>31</v>
      </c>
      <c r="BH54" t="s">
        <v>221</v>
      </c>
      <c r="BI54">
        <v>2.5</v>
      </c>
      <c r="BJ54"/>
      <c r="BK54"/>
      <c r="BL54" t="s">
        <v>103</v>
      </c>
      <c r="BM54">
        <v>181</v>
      </c>
      <c r="BN54" s="68" t="s">
        <v>31</v>
      </c>
      <c r="BO54" t="s">
        <v>183</v>
      </c>
      <c r="BP54">
        <v>2.5</v>
      </c>
      <c r="BQ54"/>
      <c r="BR54"/>
      <c r="BS54" t="s">
        <v>244</v>
      </c>
    </row>
    <row r="55" spans="55:71" ht="15" customHeight="1" x14ac:dyDescent="0.25">
      <c r="BC55" t="s">
        <v>201</v>
      </c>
      <c r="BD55">
        <f t="shared" si="0"/>
        <v>4096</v>
      </c>
      <c r="BE55" t="s">
        <v>220</v>
      </c>
      <c r="BF55">
        <v>4096</v>
      </c>
      <c r="BG55" s="68" t="s">
        <v>32</v>
      </c>
      <c r="BH55" t="s">
        <v>274</v>
      </c>
      <c r="BI55">
        <v>4</v>
      </c>
      <c r="BJ55"/>
      <c r="BK55"/>
      <c r="BL55" t="s">
        <v>103</v>
      </c>
      <c r="BM55">
        <v>181</v>
      </c>
      <c r="BN55" s="68" t="s">
        <v>31</v>
      </c>
      <c r="BO55" t="s">
        <v>253</v>
      </c>
      <c r="BP55">
        <v>2.5</v>
      </c>
      <c r="BQ55"/>
      <c r="BR55"/>
      <c r="BS55" t="s">
        <v>246</v>
      </c>
    </row>
    <row r="56" spans="55:71" ht="15" customHeight="1" x14ac:dyDescent="0.25">
      <c r="BC56" t="s">
        <v>124</v>
      </c>
      <c r="BD56">
        <f t="shared" si="0"/>
        <v>4277</v>
      </c>
      <c r="BE56" t="s">
        <v>218</v>
      </c>
      <c r="BF56">
        <v>181</v>
      </c>
      <c r="BG56" s="68" t="s">
        <v>31</v>
      </c>
      <c r="BH56" t="s">
        <v>219</v>
      </c>
      <c r="BI56">
        <v>2.5</v>
      </c>
      <c r="BJ56"/>
      <c r="BK56"/>
      <c r="BL56" t="s">
        <v>115</v>
      </c>
      <c r="BM56">
        <v>181</v>
      </c>
      <c r="BN56" s="68" t="s">
        <v>31</v>
      </c>
      <c r="BO56" t="s">
        <v>116</v>
      </c>
      <c r="BP56">
        <v>2.5</v>
      </c>
      <c r="BQ56"/>
      <c r="BR56"/>
      <c r="BS56" t="s">
        <v>247</v>
      </c>
    </row>
    <row r="57" spans="55:71" ht="15" customHeight="1" x14ac:dyDescent="0.25">
      <c r="BC57" t="s">
        <v>123</v>
      </c>
      <c r="BD57">
        <f t="shared" si="0"/>
        <v>4096</v>
      </c>
      <c r="BE57" t="s">
        <v>218</v>
      </c>
      <c r="BF57">
        <v>4096</v>
      </c>
      <c r="BG57" s="68" t="s">
        <v>32</v>
      </c>
      <c r="BH57" t="s">
        <v>267</v>
      </c>
      <c r="BI57">
        <v>4</v>
      </c>
      <c r="BJ57"/>
      <c r="BK57"/>
      <c r="BL57" t="s">
        <v>115</v>
      </c>
      <c r="BM57">
        <v>1448</v>
      </c>
      <c r="BN57" s="68" t="s">
        <v>34</v>
      </c>
      <c r="BO57" t="s">
        <v>196</v>
      </c>
      <c r="BP57">
        <v>3.5</v>
      </c>
      <c r="BQ57"/>
      <c r="BR57"/>
      <c r="BS57" t="s">
        <v>251</v>
      </c>
    </row>
    <row r="58" spans="55:71" ht="15" customHeight="1" x14ac:dyDescent="0.25">
      <c r="BC58" t="s">
        <v>262</v>
      </c>
      <c r="BD58">
        <f t="shared" si="0"/>
        <v>1448</v>
      </c>
      <c r="BE58" t="s">
        <v>238</v>
      </c>
      <c r="BF58">
        <v>4096</v>
      </c>
      <c r="BG58" s="68" t="s">
        <v>32</v>
      </c>
      <c r="BH58" t="s">
        <v>239</v>
      </c>
      <c r="BI58">
        <v>4</v>
      </c>
      <c r="BJ58"/>
      <c r="BK58"/>
      <c r="BL58" t="s">
        <v>115</v>
      </c>
      <c r="BM58">
        <v>1448</v>
      </c>
      <c r="BN58" s="68" t="s">
        <v>40</v>
      </c>
      <c r="BO58" t="s">
        <v>225</v>
      </c>
      <c r="BP58">
        <v>3.5</v>
      </c>
      <c r="BQ58"/>
      <c r="BR58"/>
      <c r="BS58" t="s">
        <v>252</v>
      </c>
    </row>
    <row r="59" spans="55:71" ht="15" customHeight="1" x14ac:dyDescent="0.25">
      <c r="BC59" t="s">
        <v>256</v>
      </c>
      <c r="BD59">
        <f t="shared" si="0"/>
        <v>181</v>
      </c>
      <c r="BE59" t="s">
        <v>236</v>
      </c>
      <c r="BF59">
        <v>4096</v>
      </c>
      <c r="BG59" s="68" t="s">
        <v>32</v>
      </c>
      <c r="BH59" t="s">
        <v>237</v>
      </c>
      <c r="BI59">
        <v>4</v>
      </c>
      <c r="BJ59"/>
      <c r="BK59"/>
      <c r="BL59" t="s">
        <v>117</v>
      </c>
      <c r="BM59">
        <v>4096</v>
      </c>
      <c r="BN59" s="68" t="s">
        <v>32</v>
      </c>
      <c r="BO59" t="s">
        <v>226</v>
      </c>
      <c r="BP59">
        <v>4</v>
      </c>
      <c r="BQ59"/>
      <c r="BR59"/>
      <c r="BS59" t="s">
        <v>254</v>
      </c>
    </row>
    <row r="60" spans="55:71" ht="15" customHeight="1" x14ac:dyDescent="0.25">
      <c r="BC60" t="s">
        <v>220</v>
      </c>
      <c r="BD60">
        <f t="shared" si="0"/>
        <v>4458</v>
      </c>
      <c r="BE60" t="s">
        <v>234</v>
      </c>
      <c r="BF60">
        <v>181</v>
      </c>
      <c r="BG60" s="68" t="s">
        <v>31</v>
      </c>
      <c r="BH60" t="s">
        <v>235</v>
      </c>
      <c r="BI60">
        <v>2.5</v>
      </c>
      <c r="BJ60"/>
      <c r="BK60"/>
      <c r="BL60" t="s">
        <v>189</v>
      </c>
      <c r="BM60">
        <v>4096</v>
      </c>
      <c r="BN60" s="68" t="s">
        <v>32</v>
      </c>
      <c r="BO60" t="s">
        <v>259</v>
      </c>
      <c r="BP60">
        <v>4</v>
      </c>
      <c r="BQ60"/>
      <c r="BR60"/>
      <c r="BS60" t="s">
        <v>258</v>
      </c>
    </row>
    <row r="61" spans="55:71" ht="15" customHeight="1" x14ac:dyDescent="0.25">
      <c r="BC61" t="s">
        <v>218</v>
      </c>
      <c r="BD61">
        <f t="shared" si="0"/>
        <v>4277</v>
      </c>
      <c r="BE61" t="s">
        <v>272</v>
      </c>
      <c r="BF61">
        <v>4096</v>
      </c>
      <c r="BG61" s="68" t="s">
        <v>48</v>
      </c>
      <c r="BH61" t="s">
        <v>273</v>
      </c>
      <c r="BI61">
        <v>4</v>
      </c>
      <c r="BJ61"/>
      <c r="BK61"/>
      <c r="BL61" t="s">
        <v>107</v>
      </c>
      <c r="BM61">
        <v>1448</v>
      </c>
      <c r="BN61" s="68" t="s">
        <v>34</v>
      </c>
      <c r="BO61" t="s">
        <v>108</v>
      </c>
      <c r="BP61">
        <v>3.5</v>
      </c>
      <c r="BQ61"/>
      <c r="BR61"/>
      <c r="BS61" t="s">
        <v>265</v>
      </c>
    </row>
    <row r="62" spans="55:71" ht="15" customHeight="1" x14ac:dyDescent="0.25">
      <c r="BC62" t="s">
        <v>238</v>
      </c>
      <c r="BD62">
        <f t="shared" si="0"/>
        <v>4096</v>
      </c>
      <c r="BE62" t="s">
        <v>270</v>
      </c>
      <c r="BF62">
        <v>1448</v>
      </c>
      <c r="BG62" s="68" t="s">
        <v>34</v>
      </c>
      <c r="BH62" t="s">
        <v>271</v>
      </c>
      <c r="BI62">
        <v>3.5</v>
      </c>
      <c r="BJ62"/>
      <c r="BK62"/>
      <c r="BL62" t="s">
        <v>118</v>
      </c>
      <c r="BM62">
        <v>181</v>
      </c>
      <c r="BN62" s="68" t="s">
        <v>31</v>
      </c>
      <c r="BO62" t="s">
        <v>227</v>
      </c>
      <c r="BP62">
        <v>2.5</v>
      </c>
      <c r="BQ62"/>
      <c r="BR62"/>
      <c r="BS62" t="s">
        <v>275</v>
      </c>
    </row>
    <row r="63" spans="55:71" ht="15" customHeight="1" x14ac:dyDescent="0.25">
      <c r="BC63" t="s">
        <v>236</v>
      </c>
      <c r="BD63">
        <f t="shared" si="0"/>
        <v>4096</v>
      </c>
      <c r="BE63" t="s">
        <v>268</v>
      </c>
      <c r="BF63">
        <v>262144</v>
      </c>
      <c r="BG63" s="68" t="s">
        <v>43</v>
      </c>
      <c r="BH63" t="s">
        <v>269</v>
      </c>
      <c r="BI63">
        <v>6</v>
      </c>
      <c r="BJ63"/>
      <c r="BK63"/>
      <c r="BL63" t="s">
        <v>187</v>
      </c>
      <c r="BM63">
        <v>181</v>
      </c>
      <c r="BN63" s="68" t="s">
        <v>31</v>
      </c>
      <c r="BO63" t="s">
        <v>264</v>
      </c>
      <c r="BP63">
        <v>2.5</v>
      </c>
      <c r="BQ63"/>
      <c r="BR63"/>
      <c r="BS63" t="s">
        <v>277</v>
      </c>
    </row>
    <row r="64" spans="55:71" ht="15" customHeight="1" x14ac:dyDescent="0.25">
      <c r="BC64" t="s">
        <v>234</v>
      </c>
      <c r="BD64">
        <f t="shared" si="0"/>
        <v>181</v>
      </c>
      <c r="BE64"/>
      <c r="BF64"/>
      <c r="BG64"/>
      <c r="BH64"/>
      <c r="BI64"/>
      <c r="BJ64"/>
      <c r="BK64"/>
      <c r="BL64" t="s">
        <v>214</v>
      </c>
      <c r="BM64">
        <v>32768</v>
      </c>
      <c r="BN64" s="68" t="s">
        <v>33</v>
      </c>
      <c r="BO64" t="s">
        <v>276</v>
      </c>
      <c r="BP64">
        <v>5</v>
      </c>
      <c r="BQ64"/>
      <c r="BR64"/>
      <c r="BS64"/>
    </row>
    <row r="65" spans="55:71" ht="15" customHeight="1" x14ac:dyDescent="0.25">
      <c r="BC65" t="s">
        <v>272</v>
      </c>
      <c r="BD65">
        <f t="shared" si="0"/>
        <v>4096</v>
      </c>
      <c r="BE65"/>
      <c r="BF65"/>
      <c r="BG65"/>
      <c r="BH65"/>
      <c r="BI65"/>
      <c r="BJ65"/>
      <c r="BK65"/>
      <c r="BL65" t="s">
        <v>214</v>
      </c>
      <c r="BM65">
        <v>181</v>
      </c>
      <c r="BN65" s="68" t="s">
        <v>31</v>
      </c>
      <c r="BO65" t="s">
        <v>215</v>
      </c>
      <c r="BP65">
        <v>2.5</v>
      </c>
      <c r="BQ65"/>
      <c r="BR65"/>
      <c r="BS65"/>
    </row>
    <row r="66" spans="55:71" ht="15" customHeight="1" x14ac:dyDescent="0.25">
      <c r="BC66" t="s">
        <v>270</v>
      </c>
      <c r="BD66">
        <f t="shared" si="0"/>
        <v>1448</v>
      </c>
      <c r="BE66"/>
      <c r="BF66"/>
      <c r="BG66"/>
      <c r="BH66"/>
      <c r="BI66"/>
      <c r="BJ66"/>
      <c r="BK66"/>
      <c r="BL66" t="s">
        <v>203</v>
      </c>
      <c r="BM66">
        <v>181</v>
      </c>
      <c r="BN66" s="68" t="s">
        <v>31</v>
      </c>
      <c r="BO66" t="s">
        <v>213</v>
      </c>
      <c r="BP66">
        <v>2.5</v>
      </c>
      <c r="BQ66"/>
      <c r="BR66"/>
      <c r="BS66"/>
    </row>
    <row r="67" spans="55:71" ht="15" customHeight="1" x14ac:dyDescent="0.25">
      <c r="BC67" t="s">
        <v>268</v>
      </c>
      <c r="BD67">
        <f t="shared" si="0"/>
        <v>262144</v>
      </c>
      <c r="BE67"/>
      <c r="BF67"/>
      <c r="BG67"/>
      <c r="BH67"/>
      <c r="BI67"/>
      <c r="BJ67"/>
      <c r="BK67"/>
      <c r="BL67" t="s">
        <v>201</v>
      </c>
      <c r="BM67">
        <v>4096</v>
      </c>
      <c r="BN67" s="68" t="s">
        <v>32</v>
      </c>
      <c r="BO67" t="s">
        <v>229</v>
      </c>
      <c r="BP67">
        <v>4</v>
      </c>
      <c r="BQ67"/>
      <c r="BR67"/>
      <c r="BS67"/>
    </row>
    <row r="68" spans="55:71" ht="15" customHeight="1" x14ac:dyDescent="0.25">
      <c r="BC68"/>
      <c r="BD68"/>
      <c r="BE68"/>
      <c r="BF68"/>
      <c r="BG68"/>
      <c r="BH68"/>
      <c r="BI68"/>
      <c r="BJ68"/>
      <c r="BK68"/>
      <c r="BL68" t="s">
        <v>124</v>
      </c>
      <c r="BM68">
        <v>512</v>
      </c>
      <c r="BN68" s="68" t="s">
        <v>41</v>
      </c>
      <c r="BO68" t="s">
        <v>228</v>
      </c>
      <c r="BP68">
        <v>3</v>
      </c>
      <c r="BQ68"/>
      <c r="BR68"/>
      <c r="BS68"/>
    </row>
    <row r="69" spans="55:71" ht="15" customHeight="1" x14ac:dyDescent="0.25">
      <c r="BC69"/>
      <c r="BD69"/>
      <c r="BE69"/>
      <c r="BF69"/>
      <c r="BG69"/>
      <c r="BH69"/>
      <c r="BI69"/>
      <c r="BJ69"/>
      <c r="BK69"/>
      <c r="BL69" t="s">
        <v>262</v>
      </c>
      <c r="BM69">
        <v>1448</v>
      </c>
      <c r="BN69" s="68" t="s">
        <v>34</v>
      </c>
      <c r="BO69" t="s">
        <v>263</v>
      </c>
      <c r="BP69">
        <v>3.5</v>
      </c>
      <c r="BQ69"/>
      <c r="BR69"/>
      <c r="BS69"/>
    </row>
    <row r="70" spans="55:71" ht="15" customHeight="1" x14ac:dyDescent="0.25">
      <c r="BC70"/>
      <c r="BD70"/>
      <c r="BE70"/>
      <c r="BF70"/>
      <c r="BG70"/>
      <c r="BH70"/>
      <c r="BI70"/>
      <c r="BJ70"/>
      <c r="BK70"/>
      <c r="BL70" t="s">
        <v>256</v>
      </c>
      <c r="BM70">
        <v>181</v>
      </c>
      <c r="BN70" s="68" t="s">
        <v>31</v>
      </c>
      <c r="BO70" t="s">
        <v>261</v>
      </c>
      <c r="BP70">
        <v>2.5</v>
      </c>
      <c r="BQ70"/>
      <c r="BR70"/>
      <c r="BS70"/>
    </row>
    <row r="71" spans="55:71" ht="15" customHeight="1" x14ac:dyDescent="0.25">
      <c r="BC71"/>
      <c r="BD71"/>
      <c r="BE71"/>
      <c r="BF71"/>
      <c r="BG71"/>
      <c r="BH71"/>
      <c r="BI71"/>
      <c r="BJ71"/>
      <c r="BK71"/>
      <c r="BL71" t="s">
        <v>220</v>
      </c>
      <c r="BM71">
        <v>4096</v>
      </c>
      <c r="BN71" s="68" t="s">
        <v>32</v>
      </c>
      <c r="BO71" t="s">
        <v>260</v>
      </c>
      <c r="BP71">
        <v>4</v>
      </c>
      <c r="BQ71"/>
      <c r="BR71"/>
      <c r="BS71"/>
    </row>
    <row r="72" spans="55:71" ht="15" customHeight="1" x14ac:dyDescent="0.25"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</row>
    <row r="73" spans="55:71" ht="15" customHeight="1" x14ac:dyDescent="0.25"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</row>
    <row r="74" spans="55:71" ht="15" customHeight="1" x14ac:dyDescent="0.25"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</row>
    <row r="75" spans="55:71" ht="15" customHeight="1" x14ac:dyDescent="0.25"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</row>
    <row r="76" spans="55:71" ht="15" customHeight="1" x14ac:dyDescent="0.25"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</row>
    <row r="77" spans="55:71" ht="15" customHeight="1" x14ac:dyDescent="0.25"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</row>
    <row r="78" spans="55:71" ht="15" customHeight="1" x14ac:dyDescent="0.25"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</row>
    <row r="79" spans="55:71" ht="15" customHeight="1" x14ac:dyDescent="0.25"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</row>
    <row r="80" spans="55:71" ht="15" customHeight="1" x14ac:dyDescent="0.25"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</row>
    <row r="81" spans="55:71" ht="15" customHeight="1" x14ac:dyDescent="0.25"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</row>
    <row r="82" spans="55:71" ht="15" customHeight="1" x14ac:dyDescent="0.25"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</row>
    <row r="83" spans="55:71" ht="15" customHeight="1" x14ac:dyDescent="0.25"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</row>
    <row r="84" spans="55:71" ht="15" customHeight="1" x14ac:dyDescent="0.25"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</row>
    <row r="85" spans="55:71" ht="15" customHeight="1" x14ac:dyDescent="0.25"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</row>
    <row r="86" spans="55:71" ht="15" customHeight="1" x14ac:dyDescent="0.25"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</row>
    <row r="87" spans="55:71" ht="15" customHeight="1" x14ac:dyDescent="0.25"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</row>
    <row r="88" spans="55:71" ht="15" customHeight="1" x14ac:dyDescent="0.25"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</row>
    <row r="89" spans="55:71" ht="15" customHeight="1" x14ac:dyDescent="0.25"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</row>
    <row r="90" spans="55:71" ht="15" customHeight="1" x14ac:dyDescent="0.25"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</row>
    <row r="91" spans="55:71" ht="15" customHeight="1" x14ac:dyDescent="0.25"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</row>
    <row r="92" spans="55:71" ht="15" customHeight="1" x14ac:dyDescent="0.25"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</row>
    <row r="93" spans="55:71" ht="15" customHeight="1" x14ac:dyDescent="0.25"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</row>
    <row r="94" spans="55:71" ht="15" customHeight="1" x14ac:dyDescent="0.25"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</row>
    <row r="95" spans="55:71" ht="15" customHeight="1" x14ac:dyDescent="0.25"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</row>
    <row r="96" spans="55:71" ht="15" customHeight="1" x14ac:dyDescent="0.25"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</row>
    <row r="97" spans="55:71" ht="15" customHeight="1" x14ac:dyDescent="0.25"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</row>
    <row r="98" spans="55:71" ht="15" customHeight="1" x14ac:dyDescent="0.25"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</row>
    <row r="99" spans="55:71" ht="15" customHeight="1" x14ac:dyDescent="0.25"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</row>
    <row r="100" spans="55:71" ht="15" customHeight="1" x14ac:dyDescent="0.25"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</row>
    <row r="101" spans="55:71" ht="15" customHeight="1" x14ac:dyDescent="0.25"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</row>
    <row r="102" spans="55:71" ht="15" customHeight="1" x14ac:dyDescent="0.25"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</row>
    <row r="103" spans="55:71" ht="15" customHeight="1" x14ac:dyDescent="0.25"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</row>
    <row r="104" spans="55:71" ht="15" customHeight="1" x14ac:dyDescent="0.25"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</row>
    <row r="105" spans="55:71" ht="15" customHeight="1" x14ac:dyDescent="0.25"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</row>
    <row r="106" spans="55:71" ht="15" customHeight="1" x14ac:dyDescent="0.25"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</row>
    <row r="107" spans="55:71" ht="15" customHeight="1" x14ac:dyDescent="0.25"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</row>
    <row r="108" spans="55:71" ht="15" customHeight="1" x14ac:dyDescent="0.25"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</row>
    <row r="109" spans="55:71" ht="15" customHeight="1" x14ac:dyDescent="0.25"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</row>
    <row r="110" spans="55:71" ht="15" customHeight="1" x14ac:dyDescent="0.25"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</row>
    <row r="111" spans="55:71" ht="15" customHeight="1" x14ac:dyDescent="0.25"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</row>
    <row r="112" spans="55:71" ht="15" customHeight="1" x14ac:dyDescent="0.25"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</row>
    <row r="113" spans="55:71" ht="15" customHeight="1" x14ac:dyDescent="0.25"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</row>
    <row r="114" spans="55:71" ht="15" customHeight="1" x14ac:dyDescent="0.25"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</row>
    <row r="115" spans="55:71" ht="15" customHeight="1" x14ac:dyDescent="0.25"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</row>
    <row r="116" spans="55:71" ht="15" customHeight="1" x14ac:dyDescent="0.25"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</row>
    <row r="117" spans="55:71" ht="15" customHeight="1" x14ac:dyDescent="0.25"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</row>
    <row r="118" spans="55:71" ht="15" customHeight="1" x14ac:dyDescent="0.25"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</row>
    <row r="119" spans="55:71" ht="15" customHeight="1" x14ac:dyDescent="0.25"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</row>
    <row r="120" spans="55:71" ht="15" customHeight="1" x14ac:dyDescent="0.25"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</row>
    <row r="121" spans="55:71" ht="15" customHeight="1" x14ac:dyDescent="0.25"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</row>
    <row r="122" spans="55:71" ht="15" customHeight="1" x14ac:dyDescent="0.25"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</row>
    <row r="123" spans="55:71" ht="15" customHeight="1" x14ac:dyDescent="0.25"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</row>
    <row r="124" spans="55:71" ht="15" customHeight="1" x14ac:dyDescent="0.25"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</row>
    <row r="125" spans="55:71" ht="15" customHeight="1" x14ac:dyDescent="0.25"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</row>
    <row r="126" spans="55:71" ht="15" customHeight="1" x14ac:dyDescent="0.25"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</row>
    <row r="127" spans="55:71" ht="15" customHeight="1" x14ac:dyDescent="0.25"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</row>
    <row r="128" spans="55:71" ht="15" customHeight="1" x14ac:dyDescent="0.25"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</row>
    <row r="129" spans="55:71" ht="15" customHeight="1" x14ac:dyDescent="0.25"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</row>
    <row r="130" spans="55:71" ht="15" customHeight="1" x14ac:dyDescent="0.25"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</row>
    <row r="131" spans="55:71" ht="15" customHeight="1" x14ac:dyDescent="0.25"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</row>
    <row r="132" spans="55:71" ht="15" customHeight="1" x14ac:dyDescent="0.25"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</row>
    <row r="133" spans="55:71" ht="15" customHeight="1" x14ac:dyDescent="0.25"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</row>
    <row r="134" spans="55:71" ht="15" customHeight="1" x14ac:dyDescent="0.25"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</row>
    <row r="135" spans="55:71" ht="15" customHeight="1" x14ac:dyDescent="0.25"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</row>
    <row r="136" spans="55:71" ht="15" customHeight="1" x14ac:dyDescent="0.25"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</row>
    <row r="137" spans="55:71" ht="15" customHeight="1" x14ac:dyDescent="0.25"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</row>
    <row r="138" spans="55:71" ht="15" customHeight="1" x14ac:dyDescent="0.25"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</row>
    <row r="139" spans="55:71" ht="15" customHeight="1" x14ac:dyDescent="0.25"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</row>
    <row r="140" spans="55:71" ht="15" customHeight="1" x14ac:dyDescent="0.25"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</row>
    <row r="141" spans="55:71" ht="15" customHeight="1" x14ac:dyDescent="0.25"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</row>
    <row r="142" spans="55:71" ht="15" customHeight="1" x14ac:dyDescent="0.25"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</row>
    <row r="143" spans="55:71" ht="15" customHeight="1" x14ac:dyDescent="0.25"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</row>
    <row r="144" spans="55:71" ht="15" customHeight="1" x14ac:dyDescent="0.25"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</row>
    <row r="145" spans="55:71" ht="15" customHeight="1" x14ac:dyDescent="0.25"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</row>
    <row r="146" spans="55:71" ht="15" customHeight="1" x14ac:dyDescent="0.25"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</row>
    <row r="147" spans="55:71" ht="15" customHeight="1" x14ac:dyDescent="0.25"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</row>
    <row r="148" spans="55:71" ht="15" customHeight="1" x14ac:dyDescent="0.25"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</row>
    <row r="149" spans="55:71" ht="15" customHeight="1" x14ac:dyDescent="0.25"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</row>
    <row r="150" spans="55:71" ht="15" customHeight="1" x14ac:dyDescent="0.25"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</row>
    <row r="151" spans="55:71" ht="15" customHeight="1" x14ac:dyDescent="0.25"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</row>
    <row r="152" spans="55:71" ht="15" customHeight="1" x14ac:dyDescent="0.25"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</row>
    <row r="153" spans="55:71" ht="15" customHeight="1" x14ac:dyDescent="0.25"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</row>
    <row r="154" spans="55:71" ht="15" customHeight="1" x14ac:dyDescent="0.25"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</row>
    <row r="155" spans="55:71" ht="15" customHeight="1" x14ac:dyDescent="0.25"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</row>
    <row r="156" spans="55:71" ht="15" customHeight="1" x14ac:dyDescent="0.25"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</row>
    <row r="157" spans="55:71" ht="15" customHeight="1" x14ac:dyDescent="0.25"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</row>
    <row r="158" spans="55:71" ht="15" customHeight="1" x14ac:dyDescent="0.25"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</row>
    <row r="159" spans="55:71" ht="15" customHeight="1" x14ac:dyDescent="0.25"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</row>
    <row r="160" spans="55:71" ht="15" customHeight="1" x14ac:dyDescent="0.25"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</row>
    <row r="161" spans="55:71" ht="15" customHeight="1" x14ac:dyDescent="0.25"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</row>
    <row r="162" spans="55:71" ht="15" customHeight="1" x14ac:dyDescent="0.25"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</row>
    <row r="163" spans="55:71" ht="15" customHeight="1" x14ac:dyDescent="0.25"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</row>
    <row r="164" spans="55:71" ht="15" customHeight="1" x14ac:dyDescent="0.25"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</row>
    <row r="165" spans="55:71" ht="15" customHeight="1" x14ac:dyDescent="0.25"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</row>
    <row r="166" spans="55:71" ht="15" customHeight="1" x14ac:dyDescent="0.25"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</row>
    <row r="167" spans="55:71" ht="15" customHeight="1" x14ac:dyDescent="0.25"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</row>
    <row r="168" spans="55:71" ht="15" customHeight="1" x14ac:dyDescent="0.25"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</row>
    <row r="169" spans="55:71" ht="15" customHeight="1" x14ac:dyDescent="0.25"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</row>
    <row r="170" spans="55:71" ht="15" customHeight="1" x14ac:dyDescent="0.25"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</row>
    <row r="171" spans="55:71" ht="15" customHeight="1" x14ac:dyDescent="0.25"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</row>
    <row r="172" spans="55:71" ht="15" customHeight="1" x14ac:dyDescent="0.25"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</row>
    <row r="173" spans="55:71" ht="15" customHeight="1" x14ac:dyDescent="0.25"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</row>
    <row r="174" spans="55:71" ht="15" customHeight="1" x14ac:dyDescent="0.25"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</row>
    <row r="175" spans="55:71" ht="15" customHeight="1" x14ac:dyDescent="0.25"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</row>
    <row r="176" spans="55:71" ht="15" customHeight="1" x14ac:dyDescent="0.25"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</row>
    <row r="177" spans="55:71" ht="15" customHeight="1" x14ac:dyDescent="0.25"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</row>
    <row r="178" spans="55:71" ht="15" customHeight="1" x14ac:dyDescent="0.25"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</row>
    <row r="179" spans="55:71" ht="15" customHeight="1" x14ac:dyDescent="0.25"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</row>
    <row r="180" spans="55:71" ht="15" customHeight="1" x14ac:dyDescent="0.25"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</row>
    <row r="181" spans="55:71" ht="15" customHeight="1" x14ac:dyDescent="0.25"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</row>
    <row r="182" spans="55:71" ht="15" customHeight="1" x14ac:dyDescent="0.25"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</row>
    <row r="183" spans="55:71" ht="15" customHeight="1" x14ac:dyDescent="0.25"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</row>
    <row r="184" spans="55:71" ht="15" customHeight="1" x14ac:dyDescent="0.25"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</row>
    <row r="185" spans="55:71" ht="15" customHeight="1" x14ac:dyDescent="0.25"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</row>
    <row r="186" spans="55:71" ht="15" customHeight="1" x14ac:dyDescent="0.25"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</row>
    <row r="187" spans="55:71" ht="15" customHeight="1" x14ac:dyDescent="0.25"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</row>
    <row r="188" spans="55:71" ht="15" customHeight="1" x14ac:dyDescent="0.25"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</row>
    <row r="189" spans="55:71" ht="15" customHeight="1" x14ac:dyDescent="0.25"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</row>
    <row r="190" spans="55:71" ht="15" customHeight="1" x14ac:dyDescent="0.25"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</row>
    <row r="191" spans="55:71" ht="15" customHeight="1" x14ac:dyDescent="0.25"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</row>
    <row r="192" spans="55:71" ht="15" customHeight="1" x14ac:dyDescent="0.25"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</row>
    <row r="193" spans="55:71" ht="15" customHeight="1" x14ac:dyDescent="0.25"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</row>
    <row r="194" spans="55:71" ht="15" customHeight="1" x14ac:dyDescent="0.25"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</row>
    <row r="195" spans="55:71" ht="15" customHeight="1" x14ac:dyDescent="0.25"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</row>
    <row r="196" spans="55:71" ht="15" customHeight="1" x14ac:dyDescent="0.25"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</row>
    <row r="197" spans="55:71" ht="15" customHeight="1" x14ac:dyDescent="0.25"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</row>
    <row r="198" spans="55:71" ht="15" customHeight="1" x14ac:dyDescent="0.25"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</row>
    <row r="199" spans="55:71" ht="15" customHeight="1" x14ac:dyDescent="0.25"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</row>
    <row r="200" spans="55:71" ht="15" customHeight="1" x14ac:dyDescent="0.25"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</row>
    <row r="201" spans="55:71" ht="15" customHeight="1" x14ac:dyDescent="0.25"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</row>
    <row r="202" spans="55:71" ht="15" customHeight="1" x14ac:dyDescent="0.25"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</row>
    <row r="203" spans="55:71" ht="15" customHeight="1" x14ac:dyDescent="0.25"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</row>
    <row r="204" spans="55:71" ht="15" customHeight="1" x14ac:dyDescent="0.25"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</row>
    <row r="205" spans="55:71" ht="15" customHeight="1" x14ac:dyDescent="0.25"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</row>
    <row r="206" spans="55:71" ht="15" customHeight="1" x14ac:dyDescent="0.25"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</row>
    <row r="207" spans="55:71" ht="15" customHeight="1" x14ac:dyDescent="0.25"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</row>
    <row r="208" spans="55:71" ht="15" customHeight="1" x14ac:dyDescent="0.25"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</row>
    <row r="209" spans="55:71" ht="15" customHeight="1" x14ac:dyDescent="0.25"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</row>
    <row r="210" spans="55:71" ht="15" customHeight="1" x14ac:dyDescent="0.25"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</row>
    <row r="211" spans="55:71" ht="15" customHeight="1" x14ac:dyDescent="0.25"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</row>
    <row r="212" spans="55:71" ht="15" customHeight="1" x14ac:dyDescent="0.25"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</row>
    <row r="213" spans="55:71" ht="15" customHeight="1" x14ac:dyDescent="0.25"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</row>
    <row r="214" spans="55:71" ht="15" customHeight="1" x14ac:dyDescent="0.25"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</row>
    <row r="215" spans="55:71" ht="15" customHeight="1" x14ac:dyDescent="0.25"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</row>
    <row r="216" spans="55:71" ht="15" customHeight="1" x14ac:dyDescent="0.25"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</row>
    <row r="217" spans="55:71" ht="15" customHeight="1" x14ac:dyDescent="0.25"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</row>
    <row r="218" spans="55:71" ht="15" customHeight="1" x14ac:dyDescent="0.25"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</row>
    <row r="219" spans="55:71" ht="15" customHeight="1" x14ac:dyDescent="0.25"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</row>
    <row r="220" spans="55:71" ht="15" customHeight="1" x14ac:dyDescent="0.25"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</row>
    <row r="221" spans="55:71" ht="15" customHeight="1" x14ac:dyDescent="0.25"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</row>
    <row r="222" spans="55:71" ht="15" customHeight="1" x14ac:dyDescent="0.25"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</row>
    <row r="223" spans="55:71" ht="15" customHeight="1" x14ac:dyDescent="0.25"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</row>
    <row r="224" spans="55:71" ht="15" customHeight="1" x14ac:dyDescent="0.25"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</row>
    <row r="225" spans="55:71" ht="15" customHeight="1" x14ac:dyDescent="0.25"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</row>
    <row r="226" spans="55:71" ht="15" customHeight="1" x14ac:dyDescent="0.25"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</row>
    <row r="227" spans="55:71" ht="15" customHeight="1" x14ac:dyDescent="0.25"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</row>
    <row r="228" spans="55:71" ht="15" customHeight="1" x14ac:dyDescent="0.25"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</row>
    <row r="229" spans="55:71" ht="15" customHeight="1" x14ac:dyDescent="0.25"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</row>
    <row r="230" spans="55:71" ht="15" customHeight="1" x14ac:dyDescent="0.25"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</row>
    <row r="231" spans="55:71" ht="15" customHeight="1" x14ac:dyDescent="0.25"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</row>
    <row r="232" spans="55:71" ht="15" customHeight="1" x14ac:dyDescent="0.25"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</row>
    <row r="233" spans="55:71" ht="15" customHeight="1" x14ac:dyDescent="0.25"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</row>
    <row r="234" spans="55:71" ht="15" customHeight="1" x14ac:dyDescent="0.25"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</row>
    <row r="235" spans="55:71" ht="15" customHeight="1" x14ac:dyDescent="0.25"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</row>
    <row r="236" spans="55:71" ht="15" customHeight="1" x14ac:dyDescent="0.25"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</row>
    <row r="237" spans="55:71" ht="15" customHeight="1" x14ac:dyDescent="0.25"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</row>
    <row r="238" spans="55:71" ht="15" customHeight="1" x14ac:dyDescent="0.25"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</row>
    <row r="239" spans="55:71" ht="15" customHeight="1" x14ac:dyDescent="0.25"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</row>
    <row r="240" spans="55:71" ht="15" customHeight="1" x14ac:dyDescent="0.25"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</row>
    <row r="241" spans="55:71" ht="15" customHeight="1" x14ac:dyDescent="0.25"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</row>
    <row r="242" spans="55:71" ht="15" customHeight="1" x14ac:dyDescent="0.25"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</row>
    <row r="243" spans="55:71" ht="15" customHeight="1" x14ac:dyDescent="0.25"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</row>
    <row r="244" spans="55:71" ht="15" customHeight="1" x14ac:dyDescent="0.25"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</row>
    <row r="245" spans="55:71" ht="15" customHeight="1" x14ac:dyDescent="0.25"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</row>
    <row r="246" spans="55:71" ht="15" customHeight="1" x14ac:dyDescent="0.25"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</row>
    <row r="247" spans="55:71" ht="15" customHeight="1" x14ac:dyDescent="0.25"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</row>
    <row r="248" spans="55:71" ht="15" customHeight="1" x14ac:dyDescent="0.25"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</row>
    <row r="249" spans="55:71" ht="15" customHeight="1" x14ac:dyDescent="0.25"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</row>
    <row r="250" spans="55:71" ht="15" customHeight="1" x14ac:dyDescent="0.25"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</row>
    <row r="251" spans="55:71" ht="15" customHeight="1" x14ac:dyDescent="0.25">
      <c r="BC251"/>
      <c r="BD251"/>
      <c r="BS251"/>
    </row>
    <row r="252" spans="55:71" ht="15" customHeight="1" x14ac:dyDescent="0.25">
      <c r="BC252"/>
      <c r="BD252"/>
      <c r="BS252"/>
    </row>
    <row r="253" spans="55:71" ht="15" customHeight="1" x14ac:dyDescent="0.25">
      <c r="BC253"/>
      <c r="BD253"/>
      <c r="BS253"/>
    </row>
    <row r="254" spans="55:71" ht="15" customHeight="1" x14ac:dyDescent="0.25">
      <c r="BC254"/>
      <c r="BD254"/>
      <c r="BS254"/>
    </row>
    <row r="255" spans="55:71" ht="15" customHeight="1" x14ac:dyDescent="0.25">
      <c r="BC255"/>
      <c r="BD255"/>
      <c r="BS255"/>
    </row>
    <row r="256" spans="55:71" ht="15" customHeight="1" x14ac:dyDescent="0.25">
      <c r="BC256"/>
      <c r="BD256"/>
      <c r="BS256"/>
    </row>
    <row r="257" spans="55:71" ht="15" customHeight="1" x14ac:dyDescent="0.25">
      <c r="BC257"/>
      <c r="BD257"/>
      <c r="BS257"/>
    </row>
    <row r="258" spans="55:71" ht="15" customHeight="1" x14ac:dyDescent="0.25">
      <c r="BC258"/>
      <c r="BD258"/>
      <c r="BS258"/>
    </row>
    <row r="259" spans="55:71" ht="15" customHeight="1" x14ac:dyDescent="0.25">
      <c r="BC259"/>
      <c r="BD259"/>
      <c r="BS259"/>
    </row>
    <row r="260" spans="55:71" ht="15" customHeight="1" x14ac:dyDescent="0.25">
      <c r="BC260"/>
      <c r="BD260"/>
      <c r="BS260"/>
    </row>
    <row r="261" spans="55:71" ht="15" customHeight="1" x14ac:dyDescent="0.25">
      <c r="BC261"/>
      <c r="BD261"/>
      <c r="BS261"/>
    </row>
    <row r="262" spans="55:71" ht="15" customHeight="1" x14ac:dyDescent="0.25">
      <c r="BC262"/>
      <c r="BD262"/>
      <c r="BS262"/>
    </row>
    <row r="263" spans="55:71" ht="15" customHeight="1" x14ac:dyDescent="0.25">
      <c r="BC263"/>
      <c r="BD263"/>
      <c r="BS263"/>
    </row>
    <row r="264" spans="55:71" ht="15" customHeight="1" x14ac:dyDescent="0.25">
      <c r="BC264"/>
      <c r="BD264"/>
      <c r="BS264"/>
    </row>
    <row r="265" spans="55:71" ht="15" customHeight="1" x14ac:dyDescent="0.25">
      <c r="BC265"/>
      <c r="BD265"/>
      <c r="BS265"/>
    </row>
    <row r="266" spans="55:71" ht="15" customHeight="1" x14ac:dyDescent="0.25">
      <c r="BC266"/>
      <c r="BD266"/>
      <c r="BS266"/>
    </row>
    <row r="267" spans="55:71" ht="15" customHeight="1" x14ac:dyDescent="0.25">
      <c r="BC267"/>
      <c r="BD267"/>
      <c r="BS267"/>
    </row>
    <row r="268" spans="55:71" ht="15" customHeight="1" x14ac:dyDescent="0.25">
      <c r="BC268"/>
      <c r="BD268"/>
      <c r="BS268"/>
    </row>
    <row r="269" spans="55:71" ht="15" customHeight="1" x14ac:dyDescent="0.25">
      <c r="BC269"/>
      <c r="BD269"/>
      <c r="BS269"/>
    </row>
    <row r="270" spans="55:71" ht="15" customHeight="1" x14ac:dyDescent="0.25">
      <c r="BC270"/>
      <c r="BD270"/>
      <c r="BS270"/>
    </row>
    <row r="271" spans="55:71" ht="15" customHeight="1" x14ac:dyDescent="0.25">
      <c r="BC271"/>
      <c r="BD271"/>
      <c r="BS271"/>
    </row>
    <row r="272" spans="55:71" ht="15" customHeight="1" x14ac:dyDescent="0.25">
      <c r="BC272"/>
      <c r="BD272"/>
      <c r="BS272"/>
    </row>
    <row r="273" spans="55:71" ht="15" customHeight="1" x14ac:dyDescent="0.25">
      <c r="BC273"/>
      <c r="BD273"/>
      <c r="BS273"/>
    </row>
    <row r="274" spans="55:71" ht="15" customHeight="1" x14ac:dyDescent="0.25">
      <c r="BC274"/>
      <c r="BD274"/>
      <c r="BS274"/>
    </row>
    <row r="275" spans="55:71" ht="15" customHeight="1" x14ac:dyDescent="0.25">
      <c r="BC275"/>
      <c r="BD275"/>
      <c r="BS275"/>
    </row>
    <row r="276" spans="55:71" ht="15" customHeight="1" x14ac:dyDescent="0.25">
      <c r="BC276"/>
      <c r="BD276"/>
      <c r="BS276"/>
    </row>
    <row r="277" spans="55:71" ht="15" customHeight="1" x14ac:dyDescent="0.25">
      <c r="BC277"/>
      <c r="BD277"/>
      <c r="BS277"/>
    </row>
    <row r="278" spans="55:71" ht="15" customHeight="1" x14ac:dyDescent="0.25">
      <c r="BC278"/>
      <c r="BD278"/>
      <c r="BS278"/>
    </row>
    <row r="279" spans="55:71" ht="15" customHeight="1" x14ac:dyDescent="0.25">
      <c r="BC279"/>
      <c r="BD279"/>
      <c r="BS279"/>
    </row>
    <row r="280" spans="55:71" ht="15" customHeight="1" x14ac:dyDescent="0.25">
      <c r="BC280"/>
      <c r="BD280"/>
      <c r="BS280"/>
    </row>
    <row r="281" spans="55:71" ht="15" customHeight="1" x14ac:dyDescent="0.25">
      <c r="BC281"/>
      <c r="BD281"/>
      <c r="BS281"/>
    </row>
    <row r="282" spans="55:71" ht="15" customHeight="1" x14ac:dyDescent="0.25">
      <c r="BC282"/>
      <c r="BD282"/>
      <c r="BS282"/>
    </row>
    <row r="283" spans="55:71" ht="15" customHeight="1" x14ac:dyDescent="0.25">
      <c r="BC283"/>
      <c r="BD283"/>
      <c r="BS283"/>
    </row>
    <row r="284" spans="55:71" ht="15" customHeight="1" x14ac:dyDescent="0.25">
      <c r="BC284"/>
      <c r="BD284"/>
      <c r="BS284"/>
    </row>
    <row r="285" spans="55:71" ht="15" customHeight="1" x14ac:dyDescent="0.25">
      <c r="BC285"/>
      <c r="BD285"/>
      <c r="BS285"/>
    </row>
    <row r="286" spans="55:71" ht="15" customHeight="1" x14ac:dyDescent="0.25">
      <c r="BC286"/>
      <c r="BD286"/>
      <c r="BS286"/>
    </row>
    <row r="287" spans="55:71" ht="15" customHeight="1" x14ac:dyDescent="0.25">
      <c r="BC287"/>
      <c r="BD287"/>
      <c r="BS287"/>
    </row>
    <row r="288" spans="55:71" ht="15" customHeight="1" x14ac:dyDescent="0.25">
      <c r="BC288"/>
      <c r="BD288"/>
      <c r="BS288"/>
    </row>
    <row r="289" spans="55:71" ht="15" customHeight="1" x14ac:dyDescent="0.25">
      <c r="BC289"/>
      <c r="BD289"/>
      <c r="BS289"/>
    </row>
    <row r="290" spans="55:71" ht="15" customHeight="1" x14ac:dyDescent="0.25">
      <c r="BC290"/>
      <c r="BD290"/>
      <c r="BS290"/>
    </row>
    <row r="291" spans="55:71" ht="15" customHeight="1" x14ac:dyDescent="0.25">
      <c r="BC291"/>
      <c r="BD291"/>
      <c r="BS291"/>
    </row>
    <row r="292" spans="55:71" ht="15" customHeight="1" x14ac:dyDescent="0.25">
      <c r="BC292"/>
      <c r="BD292"/>
      <c r="BS292"/>
    </row>
    <row r="293" spans="55:71" ht="15" customHeight="1" x14ac:dyDescent="0.25">
      <c r="BC293"/>
      <c r="BD293"/>
      <c r="BS293"/>
    </row>
    <row r="294" spans="55:71" ht="15" customHeight="1" x14ac:dyDescent="0.25">
      <c r="BC294"/>
      <c r="BD294"/>
      <c r="BS294"/>
    </row>
    <row r="295" spans="55:71" ht="15" customHeight="1" x14ac:dyDescent="0.25">
      <c r="BC295"/>
      <c r="BD295"/>
      <c r="BS295"/>
    </row>
    <row r="296" spans="55:71" ht="15" customHeight="1" x14ac:dyDescent="0.25">
      <c r="BC296"/>
      <c r="BD296"/>
      <c r="BS296"/>
    </row>
    <row r="297" spans="55:71" ht="15" customHeight="1" x14ac:dyDescent="0.25">
      <c r="BC297"/>
      <c r="BD297"/>
      <c r="BS297"/>
    </row>
    <row r="298" spans="55:71" ht="15" customHeight="1" x14ac:dyDescent="0.25">
      <c r="BC298"/>
      <c r="BD298"/>
      <c r="BS298"/>
    </row>
    <row r="299" spans="55:71" ht="15" customHeight="1" x14ac:dyDescent="0.25">
      <c r="BC299"/>
      <c r="BD299"/>
      <c r="BS299"/>
    </row>
    <row r="300" spans="55:71" ht="15" customHeight="1" x14ac:dyDescent="0.25">
      <c r="BC300"/>
      <c r="BD300"/>
      <c r="BS300"/>
    </row>
    <row r="301" spans="55:71" ht="15" customHeight="1" x14ac:dyDescent="0.25">
      <c r="BC301"/>
      <c r="BD301"/>
      <c r="BS301"/>
    </row>
    <row r="302" spans="55:71" ht="15" customHeight="1" x14ac:dyDescent="0.25">
      <c r="BC302"/>
      <c r="BD302"/>
      <c r="BS302"/>
    </row>
    <row r="303" spans="55:71" ht="15" customHeight="1" x14ac:dyDescent="0.25">
      <c r="BC303"/>
      <c r="BD303"/>
      <c r="BS303"/>
    </row>
    <row r="304" spans="55:71" ht="15" customHeight="1" x14ac:dyDescent="0.25">
      <c r="BC304"/>
      <c r="BD304"/>
      <c r="BS304"/>
    </row>
    <row r="305" spans="55:71" ht="15" customHeight="1" x14ac:dyDescent="0.25">
      <c r="BC305"/>
      <c r="BD305"/>
      <c r="BS305"/>
    </row>
    <row r="306" spans="55:71" ht="15" customHeight="1" x14ac:dyDescent="0.25">
      <c r="BC306"/>
      <c r="BD306"/>
      <c r="BS306"/>
    </row>
    <row r="307" spans="55:71" ht="15" customHeight="1" x14ac:dyDescent="0.25">
      <c r="BC307"/>
      <c r="BD307"/>
      <c r="BS307"/>
    </row>
    <row r="308" spans="55:71" ht="15" customHeight="1" x14ac:dyDescent="0.25">
      <c r="BC308"/>
      <c r="BD308"/>
      <c r="BS308"/>
    </row>
    <row r="309" spans="55:71" ht="15" customHeight="1" x14ac:dyDescent="0.25">
      <c r="BC309"/>
      <c r="BD309"/>
      <c r="BS309"/>
    </row>
    <row r="310" spans="55:71" ht="15" customHeight="1" x14ac:dyDescent="0.25">
      <c r="BC310"/>
      <c r="BD310"/>
      <c r="BS310"/>
    </row>
    <row r="311" spans="55:71" ht="15" customHeight="1" x14ac:dyDescent="0.25">
      <c r="BC311"/>
      <c r="BD311"/>
      <c r="BS311"/>
    </row>
    <row r="312" spans="55:71" ht="15" customHeight="1" x14ac:dyDescent="0.25">
      <c r="BC312"/>
      <c r="BD312"/>
      <c r="BS312"/>
    </row>
    <row r="313" spans="55:71" ht="15" customHeight="1" x14ac:dyDescent="0.25">
      <c r="BC313"/>
      <c r="BD313"/>
      <c r="BS313"/>
    </row>
    <row r="314" spans="55:71" ht="15" customHeight="1" x14ac:dyDescent="0.25">
      <c r="BC314"/>
      <c r="BD314"/>
      <c r="BS314"/>
    </row>
    <row r="315" spans="55:71" ht="15" customHeight="1" x14ac:dyDescent="0.25">
      <c r="BC315"/>
      <c r="BD315"/>
      <c r="BS315"/>
    </row>
    <row r="316" spans="55:71" ht="15" customHeight="1" x14ac:dyDescent="0.25">
      <c r="BC316"/>
      <c r="BD316"/>
      <c r="BS316"/>
    </row>
    <row r="317" spans="55:71" ht="15" customHeight="1" x14ac:dyDescent="0.25">
      <c r="BC317"/>
      <c r="BD317"/>
      <c r="BS317"/>
    </row>
    <row r="318" spans="55:71" ht="15" customHeight="1" x14ac:dyDescent="0.25">
      <c r="BC318"/>
      <c r="BD318"/>
      <c r="BS318"/>
    </row>
    <row r="319" spans="55:71" ht="15" customHeight="1" x14ac:dyDescent="0.25">
      <c r="BC319"/>
      <c r="BD319"/>
      <c r="BS319"/>
    </row>
    <row r="320" spans="55:71" ht="15" customHeight="1" x14ac:dyDescent="0.25">
      <c r="BC320"/>
      <c r="BD320"/>
      <c r="BS320"/>
    </row>
    <row r="321" spans="55:71" ht="15" customHeight="1" x14ac:dyDescent="0.25">
      <c r="BC321"/>
      <c r="BD321"/>
      <c r="BS321"/>
    </row>
    <row r="322" spans="55:71" ht="15" customHeight="1" x14ac:dyDescent="0.25">
      <c r="BC322"/>
      <c r="BD322"/>
      <c r="BS322"/>
    </row>
    <row r="323" spans="55:71" ht="15" customHeight="1" x14ac:dyDescent="0.25">
      <c r="BC323"/>
      <c r="BD323"/>
      <c r="BS323"/>
    </row>
    <row r="324" spans="55:71" ht="15" customHeight="1" x14ac:dyDescent="0.25">
      <c r="BC324"/>
      <c r="BD324"/>
      <c r="BS324"/>
    </row>
    <row r="325" spans="55:71" ht="15" customHeight="1" x14ac:dyDescent="0.25">
      <c r="BC325"/>
      <c r="BD325"/>
      <c r="BS325"/>
    </row>
    <row r="326" spans="55:71" ht="15" customHeight="1" x14ac:dyDescent="0.25">
      <c r="BC326"/>
      <c r="BD326"/>
      <c r="BS326"/>
    </row>
    <row r="327" spans="55:71" ht="15" customHeight="1" x14ac:dyDescent="0.25">
      <c r="BC327"/>
      <c r="BD327"/>
      <c r="BS327"/>
    </row>
    <row r="328" spans="55:71" ht="15" customHeight="1" x14ac:dyDescent="0.25">
      <c r="BC328"/>
      <c r="BD328"/>
      <c r="BS328"/>
    </row>
    <row r="329" spans="55:71" ht="15" customHeight="1" x14ac:dyDescent="0.25">
      <c r="BC329"/>
      <c r="BD329"/>
      <c r="BS329"/>
    </row>
    <row r="330" spans="55:71" ht="15" customHeight="1" x14ac:dyDescent="0.25">
      <c r="BC330"/>
      <c r="BD330"/>
      <c r="BS330"/>
    </row>
    <row r="331" spans="55:71" ht="15" customHeight="1" x14ac:dyDescent="0.25">
      <c r="BC331"/>
      <c r="BD331"/>
      <c r="BS331"/>
    </row>
    <row r="332" spans="55:71" ht="15" customHeight="1" x14ac:dyDescent="0.25">
      <c r="BC332"/>
      <c r="BD332"/>
      <c r="BS332"/>
    </row>
    <row r="333" spans="55:71" ht="15" customHeight="1" x14ac:dyDescent="0.25">
      <c r="BC333"/>
      <c r="BD333"/>
      <c r="BS333"/>
    </row>
    <row r="334" spans="55:71" ht="15" customHeight="1" x14ac:dyDescent="0.25">
      <c r="BC334"/>
      <c r="BD334"/>
      <c r="BS334"/>
    </row>
    <row r="335" spans="55:71" ht="15" customHeight="1" x14ac:dyDescent="0.25">
      <c r="BC335"/>
      <c r="BD335"/>
      <c r="BS335"/>
    </row>
    <row r="336" spans="55:71" ht="15" customHeight="1" x14ac:dyDescent="0.25">
      <c r="BC336"/>
      <c r="BD336"/>
      <c r="BS336"/>
    </row>
    <row r="337" spans="55:71" ht="15" customHeight="1" x14ac:dyDescent="0.25">
      <c r="BC337"/>
      <c r="BD337"/>
      <c r="BS337"/>
    </row>
    <row r="338" spans="55:71" ht="15" customHeight="1" x14ac:dyDescent="0.25">
      <c r="BC338"/>
      <c r="BD338"/>
      <c r="BS338"/>
    </row>
    <row r="339" spans="55:71" ht="15" customHeight="1" x14ac:dyDescent="0.25">
      <c r="BC339"/>
      <c r="BD339"/>
      <c r="BS339"/>
    </row>
    <row r="340" spans="55:71" ht="15" customHeight="1" x14ac:dyDescent="0.25">
      <c r="BC340"/>
      <c r="BD340"/>
      <c r="BS340"/>
    </row>
    <row r="341" spans="55:71" ht="15" customHeight="1" x14ac:dyDescent="0.25">
      <c r="BC341"/>
      <c r="BD341"/>
      <c r="BS341"/>
    </row>
    <row r="342" spans="55:71" ht="15" customHeight="1" x14ac:dyDescent="0.25">
      <c r="BC342"/>
      <c r="BD342"/>
      <c r="BS342"/>
    </row>
    <row r="343" spans="55:71" ht="15" customHeight="1" x14ac:dyDescent="0.25">
      <c r="BC343"/>
      <c r="BD343"/>
      <c r="BS343"/>
    </row>
    <row r="344" spans="55:71" ht="15" customHeight="1" x14ac:dyDescent="0.25">
      <c r="BC344"/>
      <c r="BD344"/>
      <c r="BS344"/>
    </row>
    <row r="345" spans="55:71" ht="15" customHeight="1" x14ac:dyDescent="0.25">
      <c r="BC345"/>
      <c r="BD345"/>
      <c r="BS345"/>
    </row>
    <row r="346" spans="55:71" ht="15" customHeight="1" x14ac:dyDescent="0.25">
      <c r="BC346"/>
      <c r="BD346"/>
      <c r="BS346"/>
    </row>
    <row r="347" spans="55:71" ht="15" customHeight="1" x14ac:dyDescent="0.25">
      <c r="BC347"/>
      <c r="BD347"/>
      <c r="BS347"/>
    </row>
    <row r="348" spans="55:71" ht="15" customHeight="1" x14ac:dyDescent="0.25">
      <c r="BC348"/>
      <c r="BD348"/>
      <c r="BS348"/>
    </row>
    <row r="349" spans="55:71" ht="15" customHeight="1" x14ac:dyDescent="0.25">
      <c r="BC349"/>
      <c r="BD349"/>
      <c r="BS349"/>
    </row>
    <row r="350" spans="55:71" ht="15" customHeight="1" x14ac:dyDescent="0.25">
      <c r="BC350"/>
      <c r="BD350"/>
      <c r="BS350"/>
    </row>
    <row r="351" spans="55:71" ht="15" customHeight="1" x14ac:dyDescent="0.25">
      <c r="BC351"/>
      <c r="BD351"/>
      <c r="BS351"/>
    </row>
    <row r="352" spans="55:71" ht="15" customHeight="1" x14ac:dyDescent="0.25">
      <c r="BC352"/>
      <c r="BD352"/>
      <c r="BS352"/>
    </row>
    <row r="353" spans="55:71" ht="15" customHeight="1" x14ac:dyDescent="0.25">
      <c r="BC353"/>
      <c r="BD353"/>
      <c r="BS353"/>
    </row>
    <row r="354" spans="55:71" ht="15" customHeight="1" x14ac:dyDescent="0.25">
      <c r="BC354"/>
      <c r="BD354"/>
      <c r="BS354"/>
    </row>
    <row r="355" spans="55:71" ht="15" customHeight="1" x14ac:dyDescent="0.25">
      <c r="BC355"/>
      <c r="BD355"/>
      <c r="BS355"/>
    </row>
    <row r="356" spans="55:71" ht="15" customHeight="1" x14ac:dyDescent="0.25">
      <c r="BC356"/>
      <c r="BD356"/>
      <c r="BS356"/>
    </row>
    <row r="357" spans="55:71" ht="15" customHeight="1" x14ac:dyDescent="0.25">
      <c r="BC357"/>
      <c r="BD357"/>
      <c r="BS357"/>
    </row>
    <row r="358" spans="55:71" ht="15" customHeight="1" x14ac:dyDescent="0.25">
      <c r="BC358"/>
      <c r="BD358"/>
      <c r="BS358"/>
    </row>
    <row r="359" spans="55:71" ht="15" customHeight="1" x14ac:dyDescent="0.25">
      <c r="BC359"/>
      <c r="BD359"/>
      <c r="BS359"/>
    </row>
    <row r="360" spans="55:71" ht="15" customHeight="1" x14ac:dyDescent="0.25">
      <c r="BC360"/>
      <c r="BD360"/>
      <c r="BS360"/>
    </row>
    <row r="361" spans="55:71" ht="15" customHeight="1" x14ac:dyDescent="0.25">
      <c r="BC361"/>
      <c r="BD361"/>
      <c r="BS361"/>
    </row>
    <row r="362" spans="55:71" ht="15" customHeight="1" x14ac:dyDescent="0.25">
      <c r="BC362"/>
      <c r="BD362"/>
      <c r="BS362"/>
    </row>
    <row r="363" spans="55:71" ht="15" customHeight="1" x14ac:dyDescent="0.25">
      <c r="BC363"/>
      <c r="BD363"/>
      <c r="BS363"/>
    </row>
    <row r="364" spans="55:71" ht="15" customHeight="1" x14ac:dyDescent="0.25">
      <c r="BC364"/>
      <c r="BD364"/>
      <c r="BS364"/>
    </row>
    <row r="365" spans="55:71" ht="15" customHeight="1" x14ac:dyDescent="0.25">
      <c r="BC365"/>
      <c r="BD365"/>
      <c r="BS365"/>
    </row>
    <row r="366" spans="55:71" ht="15" customHeight="1" x14ac:dyDescent="0.25">
      <c r="BC366"/>
      <c r="BD366"/>
      <c r="BS366"/>
    </row>
    <row r="367" spans="55:71" ht="15" customHeight="1" x14ac:dyDescent="0.25">
      <c r="BC367"/>
      <c r="BD367"/>
      <c r="BS367"/>
    </row>
    <row r="368" spans="55:71" ht="15" customHeight="1" x14ac:dyDescent="0.25">
      <c r="BC368"/>
      <c r="BD368"/>
      <c r="BS368"/>
    </row>
    <row r="369" spans="55:71" ht="15" customHeight="1" x14ac:dyDescent="0.25">
      <c r="BC369"/>
      <c r="BD369"/>
      <c r="BS369"/>
    </row>
    <row r="370" spans="55:71" ht="15" customHeight="1" x14ac:dyDescent="0.25">
      <c r="BC370"/>
      <c r="BD370"/>
      <c r="BS370"/>
    </row>
    <row r="371" spans="55:71" ht="15" customHeight="1" x14ac:dyDescent="0.25">
      <c r="BC371"/>
      <c r="BD371"/>
      <c r="BS371"/>
    </row>
    <row r="372" spans="55:71" ht="15" customHeight="1" x14ac:dyDescent="0.25">
      <c r="BC372"/>
      <c r="BD372"/>
      <c r="BS372"/>
    </row>
    <row r="373" spans="55:71" ht="15" customHeight="1" x14ac:dyDescent="0.25">
      <c r="BC373"/>
      <c r="BD373"/>
      <c r="BS373"/>
    </row>
    <row r="374" spans="55:71" ht="15" customHeight="1" x14ac:dyDescent="0.25">
      <c r="BC374"/>
      <c r="BD374"/>
      <c r="BS374"/>
    </row>
    <row r="375" spans="55:71" ht="15" customHeight="1" x14ac:dyDescent="0.25">
      <c r="BC375"/>
      <c r="BD375"/>
      <c r="BS375"/>
    </row>
    <row r="376" spans="55:71" ht="15" customHeight="1" x14ac:dyDescent="0.25">
      <c r="BC376"/>
      <c r="BD376"/>
      <c r="BS376"/>
    </row>
    <row r="377" spans="55:71" ht="15" customHeight="1" x14ac:dyDescent="0.25">
      <c r="BC377"/>
      <c r="BD377"/>
      <c r="BS377"/>
    </row>
    <row r="378" spans="55:71" ht="15" customHeight="1" x14ac:dyDescent="0.25">
      <c r="BC378"/>
      <c r="BD378"/>
      <c r="BS378"/>
    </row>
    <row r="379" spans="55:71" ht="15" customHeight="1" x14ac:dyDescent="0.25">
      <c r="BC379"/>
      <c r="BD379"/>
      <c r="BS379"/>
    </row>
    <row r="380" spans="55:71" ht="15" customHeight="1" x14ac:dyDescent="0.25">
      <c r="BC380"/>
      <c r="BD380"/>
      <c r="BS380"/>
    </row>
    <row r="381" spans="55:71" ht="15" customHeight="1" x14ac:dyDescent="0.25">
      <c r="BC381"/>
      <c r="BD381"/>
      <c r="BS381"/>
    </row>
    <row r="382" spans="55:71" ht="15" customHeight="1" x14ac:dyDescent="0.25">
      <c r="BC382"/>
      <c r="BD382"/>
      <c r="BS382"/>
    </row>
    <row r="383" spans="55:71" ht="15" customHeight="1" x14ac:dyDescent="0.25">
      <c r="BC383"/>
      <c r="BD383"/>
      <c r="BS383"/>
    </row>
    <row r="384" spans="55:71" ht="15" customHeight="1" x14ac:dyDescent="0.25">
      <c r="BC384"/>
      <c r="BD384"/>
      <c r="BS384"/>
    </row>
    <row r="385" spans="55:71" ht="15" customHeight="1" x14ac:dyDescent="0.25">
      <c r="BC385"/>
      <c r="BD385"/>
      <c r="BS385"/>
    </row>
    <row r="386" spans="55:71" ht="15" customHeight="1" x14ac:dyDescent="0.25">
      <c r="BC386"/>
      <c r="BD386"/>
      <c r="BS386"/>
    </row>
    <row r="387" spans="55:71" ht="15" customHeight="1" x14ac:dyDescent="0.25">
      <c r="BC387"/>
      <c r="BD387"/>
      <c r="BS387"/>
    </row>
    <row r="388" spans="55:71" ht="15" customHeight="1" x14ac:dyDescent="0.25">
      <c r="BC388"/>
      <c r="BD388"/>
      <c r="BS388"/>
    </row>
    <row r="389" spans="55:71" ht="15" customHeight="1" x14ac:dyDescent="0.25">
      <c r="BC389"/>
      <c r="BD389"/>
      <c r="BS389"/>
    </row>
    <row r="390" spans="55:71" ht="15" customHeight="1" x14ac:dyDescent="0.25">
      <c r="BC390"/>
      <c r="BD390"/>
      <c r="BS390"/>
    </row>
    <row r="391" spans="55:71" ht="15" customHeight="1" x14ac:dyDescent="0.25">
      <c r="BC391"/>
      <c r="BD391"/>
      <c r="BS391"/>
    </row>
    <row r="392" spans="55:71" ht="15" customHeight="1" x14ac:dyDescent="0.25">
      <c r="BC392"/>
      <c r="BD392"/>
      <c r="BS392"/>
    </row>
    <row r="393" spans="55:71" ht="15" customHeight="1" x14ac:dyDescent="0.25">
      <c r="BC393"/>
      <c r="BD393"/>
      <c r="BS393"/>
    </row>
    <row r="394" spans="55:71" ht="15" customHeight="1" x14ac:dyDescent="0.25">
      <c r="BC394"/>
      <c r="BD394"/>
      <c r="BS394"/>
    </row>
    <row r="395" spans="55:71" ht="15" customHeight="1" x14ac:dyDescent="0.25">
      <c r="BC395"/>
      <c r="BD395"/>
      <c r="BS395"/>
    </row>
    <row r="396" spans="55:71" ht="15" customHeight="1" x14ac:dyDescent="0.25">
      <c r="BC396"/>
      <c r="BD396"/>
      <c r="BS396"/>
    </row>
    <row r="397" spans="55:71" ht="15" customHeight="1" x14ac:dyDescent="0.25">
      <c r="BC397"/>
      <c r="BD397"/>
      <c r="BS397"/>
    </row>
    <row r="398" spans="55:71" ht="15" customHeight="1" x14ac:dyDescent="0.25">
      <c r="BC398"/>
      <c r="BD398"/>
      <c r="BS398"/>
    </row>
    <row r="399" spans="55:71" ht="15" customHeight="1" x14ac:dyDescent="0.25">
      <c r="BC399"/>
      <c r="BD399"/>
      <c r="BS399"/>
    </row>
    <row r="400" spans="55:71" ht="15" customHeight="1" x14ac:dyDescent="0.25">
      <c r="BC400"/>
      <c r="BD400"/>
      <c r="BS400"/>
    </row>
    <row r="401" spans="55:71" ht="15" customHeight="1" x14ac:dyDescent="0.25">
      <c r="BC401"/>
      <c r="BD401"/>
      <c r="BS401"/>
    </row>
    <row r="402" spans="55:71" ht="15" customHeight="1" x14ac:dyDescent="0.25">
      <c r="BC402"/>
      <c r="BD402"/>
      <c r="BS402"/>
    </row>
    <row r="403" spans="55:71" ht="15" customHeight="1" x14ac:dyDescent="0.25">
      <c r="BC403"/>
      <c r="BD403"/>
      <c r="BS403"/>
    </row>
    <row r="404" spans="55:71" ht="15" customHeight="1" x14ac:dyDescent="0.25">
      <c r="BC404"/>
      <c r="BD404"/>
      <c r="BS404"/>
    </row>
    <row r="405" spans="55:71" ht="15" customHeight="1" x14ac:dyDescent="0.25">
      <c r="BC405"/>
      <c r="BD405"/>
      <c r="BS405"/>
    </row>
    <row r="406" spans="55:71" ht="15" customHeight="1" x14ac:dyDescent="0.25">
      <c r="BC406"/>
      <c r="BD406"/>
      <c r="BS406"/>
    </row>
    <row r="407" spans="55:71" ht="15" customHeight="1" x14ac:dyDescent="0.25">
      <c r="BC407"/>
      <c r="BD407"/>
      <c r="BS407"/>
    </row>
    <row r="408" spans="55:71" ht="15" customHeight="1" x14ac:dyDescent="0.25">
      <c r="BC408"/>
      <c r="BD408"/>
      <c r="BS408"/>
    </row>
    <row r="409" spans="55:71" ht="15" customHeight="1" x14ac:dyDescent="0.25">
      <c r="BC409"/>
      <c r="BD409"/>
      <c r="BS409"/>
    </row>
    <row r="410" spans="55:71" ht="15" customHeight="1" x14ac:dyDescent="0.25">
      <c r="BC410"/>
      <c r="BD410"/>
      <c r="BS410"/>
    </row>
    <row r="411" spans="55:71" ht="15" customHeight="1" x14ac:dyDescent="0.25">
      <c r="BC411"/>
      <c r="BD411"/>
      <c r="BS411"/>
    </row>
    <row r="412" spans="55:71" ht="15" customHeight="1" x14ac:dyDescent="0.25">
      <c r="BC412"/>
      <c r="BD412"/>
      <c r="BS412"/>
    </row>
    <row r="413" spans="55:71" ht="15" customHeight="1" x14ac:dyDescent="0.25">
      <c r="BC413"/>
      <c r="BD413"/>
      <c r="BS413"/>
    </row>
    <row r="414" spans="55:71" ht="15" customHeight="1" x14ac:dyDescent="0.25">
      <c r="BC414"/>
      <c r="BD414"/>
      <c r="BS414"/>
    </row>
    <row r="415" spans="55:71" ht="15" customHeight="1" x14ac:dyDescent="0.25">
      <c r="BC415"/>
      <c r="BD415"/>
      <c r="BS415"/>
    </row>
    <row r="416" spans="55:71" ht="15" customHeight="1" x14ac:dyDescent="0.25">
      <c r="BC416"/>
      <c r="BD416"/>
      <c r="BS416"/>
    </row>
    <row r="417" spans="55:71" ht="15" customHeight="1" x14ac:dyDescent="0.25">
      <c r="BC417"/>
      <c r="BD417"/>
      <c r="BS417"/>
    </row>
    <row r="418" spans="55:71" ht="15" customHeight="1" x14ac:dyDescent="0.25">
      <c r="BC418"/>
      <c r="BD418"/>
      <c r="BS418"/>
    </row>
    <row r="419" spans="55:71" ht="15" customHeight="1" x14ac:dyDescent="0.25">
      <c r="BC419"/>
      <c r="BD419"/>
      <c r="BS419"/>
    </row>
    <row r="420" spans="55:71" ht="15" customHeight="1" x14ac:dyDescent="0.25">
      <c r="BC420"/>
      <c r="BD420"/>
      <c r="BS420"/>
    </row>
    <row r="421" spans="55:71" ht="15" customHeight="1" x14ac:dyDescent="0.25">
      <c r="BC421"/>
      <c r="BD421"/>
      <c r="BS421"/>
    </row>
    <row r="422" spans="55:71" ht="15" customHeight="1" x14ac:dyDescent="0.25">
      <c r="BC422"/>
      <c r="BD422"/>
      <c r="BS422"/>
    </row>
    <row r="423" spans="55:71" ht="15" customHeight="1" x14ac:dyDescent="0.25">
      <c r="BC423"/>
      <c r="BD423"/>
      <c r="BS423"/>
    </row>
    <row r="424" spans="55:71" ht="15" customHeight="1" x14ac:dyDescent="0.25">
      <c r="BC424"/>
      <c r="BD424"/>
      <c r="BS424"/>
    </row>
    <row r="425" spans="55:71" ht="15" customHeight="1" x14ac:dyDescent="0.25">
      <c r="BC425"/>
      <c r="BD425"/>
      <c r="BS425"/>
    </row>
    <row r="426" spans="55:71" ht="15" customHeight="1" x14ac:dyDescent="0.25">
      <c r="BC426"/>
      <c r="BD426"/>
      <c r="BS426"/>
    </row>
    <row r="427" spans="55:71" ht="15" customHeight="1" x14ac:dyDescent="0.25">
      <c r="BC427"/>
      <c r="BD427"/>
      <c r="BS427"/>
    </row>
    <row r="428" spans="55:71" ht="15" customHeight="1" x14ac:dyDescent="0.25">
      <c r="BC428"/>
      <c r="BD428"/>
      <c r="BS428"/>
    </row>
    <row r="429" spans="55:71" ht="15" customHeight="1" x14ac:dyDescent="0.25">
      <c r="BC429"/>
      <c r="BD429"/>
      <c r="BS429"/>
    </row>
    <row r="430" spans="55:71" ht="15" customHeight="1" x14ac:dyDescent="0.25">
      <c r="BC430"/>
      <c r="BD430"/>
      <c r="BS430"/>
    </row>
    <row r="431" spans="55:71" ht="15" customHeight="1" x14ac:dyDescent="0.25">
      <c r="BC431"/>
      <c r="BD431"/>
      <c r="BS431"/>
    </row>
    <row r="432" spans="55:71" ht="15" customHeight="1" x14ac:dyDescent="0.25">
      <c r="BC432"/>
      <c r="BD432"/>
      <c r="BS432"/>
    </row>
    <row r="433" spans="55:71" ht="15" customHeight="1" x14ac:dyDescent="0.25">
      <c r="BC433"/>
      <c r="BD433"/>
      <c r="BS433"/>
    </row>
    <row r="434" spans="55:71" ht="15" customHeight="1" x14ac:dyDescent="0.25">
      <c r="BC434"/>
      <c r="BD434"/>
      <c r="BS434"/>
    </row>
    <row r="435" spans="55:71" ht="15" customHeight="1" x14ac:dyDescent="0.25">
      <c r="BC435"/>
      <c r="BD435"/>
      <c r="BS435"/>
    </row>
    <row r="436" spans="55:71" ht="15" customHeight="1" x14ac:dyDescent="0.25">
      <c r="BC436"/>
      <c r="BD436"/>
      <c r="BS436"/>
    </row>
    <row r="437" spans="55:71" ht="15" customHeight="1" x14ac:dyDescent="0.25">
      <c r="BC437"/>
      <c r="BD437"/>
      <c r="BS437"/>
    </row>
    <row r="438" spans="55:71" ht="15" customHeight="1" x14ac:dyDescent="0.25">
      <c r="BC438"/>
      <c r="BD438"/>
      <c r="BS438"/>
    </row>
    <row r="439" spans="55:71" ht="15" customHeight="1" x14ac:dyDescent="0.25">
      <c r="BC439"/>
      <c r="BD439"/>
      <c r="BS439"/>
    </row>
    <row r="440" spans="55:71" ht="15" customHeight="1" x14ac:dyDescent="0.25">
      <c r="BC440"/>
      <c r="BD440"/>
      <c r="BS440"/>
    </row>
    <row r="441" spans="55:71" ht="15" customHeight="1" x14ac:dyDescent="0.25">
      <c r="BC441"/>
      <c r="BD441"/>
      <c r="BS441"/>
    </row>
    <row r="442" spans="55:71" ht="15" customHeight="1" x14ac:dyDescent="0.25">
      <c r="BC442"/>
      <c r="BD442"/>
      <c r="BS442"/>
    </row>
    <row r="443" spans="55:71" ht="15" customHeight="1" x14ac:dyDescent="0.25">
      <c r="BC443"/>
      <c r="BD443"/>
      <c r="BS443"/>
    </row>
    <row r="444" spans="55:71" ht="15" customHeight="1" x14ac:dyDescent="0.25">
      <c r="BC444"/>
      <c r="BD444"/>
      <c r="BS444"/>
    </row>
    <row r="445" spans="55:71" ht="15" customHeight="1" x14ac:dyDescent="0.25">
      <c r="BC445"/>
      <c r="BD445"/>
      <c r="BS445"/>
    </row>
    <row r="446" spans="55:71" ht="15" customHeight="1" x14ac:dyDescent="0.25">
      <c r="BC446"/>
      <c r="BD446"/>
      <c r="BS446"/>
    </row>
    <row r="447" spans="55:71" ht="15" customHeight="1" x14ac:dyDescent="0.25">
      <c r="BC447"/>
      <c r="BD447"/>
      <c r="BS447"/>
    </row>
    <row r="448" spans="55:71" ht="15" customHeight="1" x14ac:dyDescent="0.25">
      <c r="BC448"/>
      <c r="BD448"/>
      <c r="BS448"/>
    </row>
    <row r="449" spans="55:71" ht="15" customHeight="1" x14ac:dyDescent="0.25">
      <c r="BC449"/>
      <c r="BD449"/>
      <c r="BS449"/>
    </row>
    <row r="450" spans="55:71" ht="15" customHeight="1" x14ac:dyDescent="0.25">
      <c r="BC450"/>
      <c r="BD450"/>
      <c r="BS450"/>
    </row>
    <row r="451" spans="55:71" ht="15" customHeight="1" x14ac:dyDescent="0.25">
      <c r="BC451"/>
      <c r="BD451"/>
      <c r="BS451"/>
    </row>
    <row r="452" spans="55:71" ht="15" customHeight="1" x14ac:dyDescent="0.25">
      <c r="BC452"/>
      <c r="BD452"/>
      <c r="BS452"/>
    </row>
    <row r="453" spans="55:71" ht="15" customHeight="1" x14ac:dyDescent="0.25">
      <c r="BC453"/>
      <c r="BD453"/>
      <c r="BS453"/>
    </row>
    <row r="454" spans="55:71" ht="15" customHeight="1" x14ac:dyDescent="0.25">
      <c r="BC454"/>
      <c r="BD454"/>
      <c r="BS454"/>
    </row>
    <row r="455" spans="55:71" ht="15" customHeight="1" x14ac:dyDescent="0.25">
      <c r="BC455"/>
      <c r="BD455"/>
      <c r="BS455"/>
    </row>
    <row r="456" spans="55:71" ht="15" customHeight="1" x14ac:dyDescent="0.25">
      <c r="BC456"/>
      <c r="BD456"/>
      <c r="BS456"/>
    </row>
    <row r="457" spans="55:71" ht="15" customHeight="1" x14ac:dyDescent="0.25">
      <c r="BC457"/>
      <c r="BD457"/>
      <c r="BS457"/>
    </row>
    <row r="458" spans="55:71" ht="15" customHeight="1" x14ac:dyDescent="0.25">
      <c r="BC458"/>
      <c r="BD458"/>
      <c r="BS458"/>
    </row>
    <row r="459" spans="55:71" ht="15" customHeight="1" x14ac:dyDescent="0.25">
      <c r="BC459"/>
      <c r="BD459"/>
      <c r="BS459"/>
    </row>
    <row r="460" spans="55:71" ht="15" customHeight="1" x14ac:dyDescent="0.25">
      <c r="BC460"/>
      <c r="BD460"/>
      <c r="BS460"/>
    </row>
    <row r="461" spans="55:71" ht="15" customHeight="1" x14ac:dyDescent="0.25">
      <c r="BC461"/>
      <c r="BD461"/>
      <c r="BS461"/>
    </row>
    <row r="462" spans="55:71" ht="15" customHeight="1" x14ac:dyDescent="0.25">
      <c r="BC462"/>
      <c r="BD462"/>
      <c r="BS462"/>
    </row>
    <row r="463" spans="55:71" ht="15" customHeight="1" x14ac:dyDescent="0.25">
      <c r="BC463"/>
      <c r="BD463"/>
      <c r="BS463"/>
    </row>
    <row r="464" spans="55:71" ht="15" customHeight="1" x14ac:dyDescent="0.25">
      <c r="BC464"/>
      <c r="BD464"/>
      <c r="BS464"/>
    </row>
    <row r="465" spans="55:71" ht="15" customHeight="1" x14ac:dyDescent="0.25">
      <c r="BC465"/>
      <c r="BD465"/>
      <c r="BS465"/>
    </row>
    <row r="466" spans="55:71" ht="15" customHeight="1" x14ac:dyDescent="0.25">
      <c r="BC466"/>
      <c r="BD466"/>
      <c r="BS466"/>
    </row>
    <row r="467" spans="55:71" ht="15" customHeight="1" x14ac:dyDescent="0.25">
      <c r="BC467"/>
      <c r="BD467"/>
      <c r="BS467"/>
    </row>
    <row r="468" spans="55:71" ht="15" customHeight="1" x14ac:dyDescent="0.25">
      <c r="BC468"/>
      <c r="BD468"/>
      <c r="BS468"/>
    </row>
    <row r="469" spans="55:71" ht="15" customHeight="1" x14ac:dyDescent="0.25">
      <c r="BC469"/>
      <c r="BD469"/>
      <c r="BS469"/>
    </row>
    <row r="470" spans="55:71" ht="15" customHeight="1" x14ac:dyDescent="0.25">
      <c r="BC470"/>
      <c r="BD470"/>
      <c r="BS470"/>
    </row>
    <row r="471" spans="55:71" ht="15" customHeight="1" x14ac:dyDescent="0.25">
      <c r="BC471"/>
      <c r="BD471"/>
      <c r="BS471"/>
    </row>
    <row r="472" spans="55:71" ht="15" customHeight="1" x14ac:dyDescent="0.25">
      <c r="BC472"/>
      <c r="BD472"/>
      <c r="BS472"/>
    </row>
    <row r="473" spans="55:71" ht="15" customHeight="1" x14ac:dyDescent="0.25">
      <c r="BC473"/>
      <c r="BD473"/>
      <c r="BS473"/>
    </row>
    <row r="474" spans="55:71" ht="15" customHeight="1" x14ac:dyDescent="0.25">
      <c r="BC474"/>
      <c r="BD474"/>
      <c r="BS474"/>
    </row>
    <row r="475" spans="55:71" ht="15" customHeight="1" x14ac:dyDescent="0.25">
      <c r="BC475"/>
      <c r="BD475"/>
      <c r="BS475"/>
    </row>
    <row r="476" spans="55:71" ht="15" customHeight="1" x14ac:dyDescent="0.25">
      <c r="BC476"/>
      <c r="BD476"/>
      <c r="BS476"/>
    </row>
    <row r="477" spans="55:71" ht="15" customHeight="1" x14ac:dyDescent="0.25">
      <c r="BC477"/>
      <c r="BD477"/>
      <c r="BS477"/>
    </row>
    <row r="478" spans="55:71" ht="15" customHeight="1" x14ac:dyDescent="0.25">
      <c r="BC478"/>
      <c r="BD478"/>
      <c r="BS478"/>
    </row>
    <row r="479" spans="55:71" ht="15" customHeight="1" x14ac:dyDescent="0.25">
      <c r="BC479"/>
      <c r="BD479"/>
      <c r="BS479"/>
    </row>
    <row r="480" spans="55:71" ht="15" customHeight="1" x14ac:dyDescent="0.25">
      <c r="BC480"/>
      <c r="BD480"/>
      <c r="BS480"/>
    </row>
    <row r="481" spans="55:71" ht="15" customHeight="1" x14ac:dyDescent="0.25">
      <c r="BC481"/>
      <c r="BD481"/>
      <c r="BS481"/>
    </row>
    <row r="482" spans="55:71" ht="15" customHeight="1" x14ac:dyDescent="0.25">
      <c r="BC482"/>
      <c r="BD482"/>
      <c r="BS482"/>
    </row>
    <row r="483" spans="55:71" ht="15" customHeight="1" x14ac:dyDescent="0.25">
      <c r="BC483"/>
      <c r="BD483"/>
      <c r="BS483"/>
    </row>
    <row r="484" spans="55:71" ht="15" customHeight="1" x14ac:dyDescent="0.25">
      <c r="BC484"/>
      <c r="BD484"/>
      <c r="BS484"/>
    </row>
    <row r="485" spans="55:71" ht="15" customHeight="1" x14ac:dyDescent="0.25">
      <c r="BC485"/>
      <c r="BD485"/>
      <c r="BS485"/>
    </row>
    <row r="486" spans="55:71" ht="15" customHeight="1" x14ac:dyDescent="0.25">
      <c r="BC486"/>
      <c r="BD486"/>
      <c r="BS486"/>
    </row>
    <row r="487" spans="55:71" ht="15" customHeight="1" x14ac:dyDescent="0.25">
      <c r="BC487"/>
      <c r="BD487"/>
      <c r="BS487"/>
    </row>
    <row r="488" spans="55:71" ht="15" customHeight="1" x14ac:dyDescent="0.25">
      <c r="BC488"/>
      <c r="BD488"/>
      <c r="BS488"/>
    </row>
    <row r="489" spans="55:71" ht="15" customHeight="1" x14ac:dyDescent="0.25">
      <c r="BC489"/>
      <c r="BD489"/>
      <c r="BS489"/>
    </row>
    <row r="490" spans="55:71" ht="15" customHeight="1" x14ac:dyDescent="0.25">
      <c r="BC490"/>
      <c r="BD490"/>
      <c r="BS490"/>
    </row>
    <row r="491" spans="55:71" ht="15" customHeight="1" x14ac:dyDescent="0.25">
      <c r="BC491"/>
      <c r="BD491"/>
      <c r="BS491"/>
    </row>
    <row r="492" spans="55:71" ht="15" customHeight="1" x14ac:dyDescent="0.25">
      <c r="BC492"/>
      <c r="BD492"/>
      <c r="BS492"/>
    </row>
    <row r="493" spans="55:71" ht="15" customHeight="1" x14ac:dyDescent="0.25">
      <c r="BS493"/>
    </row>
    <row r="494" spans="55:71" ht="15" customHeight="1" x14ac:dyDescent="0.25">
      <c r="BS494"/>
    </row>
    <row r="495" spans="55:71" ht="15" customHeight="1" x14ac:dyDescent="0.25">
      <c r="BS495"/>
    </row>
    <row r="496" spans="55:71" ht="15" customHeight="1" x14ac:dyDescent="0.25">
      <c r="BS496"/>
    </row>
    <row r="497" spans="71:71" ht="15" customHeight="1" x14ac:dyDescent="0.25">
      <c r="BS497"/>
    </row>
    <row r="498" spans="71:71" ht="15" customHeight="1" x14ac:dyDescent="0.25">
      <c r="BS498"/>
    </row>
    <row r="499" spans="71:71" ht="15" customHeight="1" x14ac:dyDescent="0.25">
      <c r="BS499"/>
    </row>
    <row r="500" spans="71:71" ht="15" customHeight="1" x14ac:dyDescent="0.25">
      <c r="BS500"/>
    </row>
    <row r="501" spans="71:71" ht="15" customHeight="1" x14ac:dyDescent="0.25">
      <c r="BS501"/>
    </row>
    <row r="502" spans="71:71" ht="15" customHeight="1" x14ac:dyDescent="0.25">
      <c r="BS502"/>
    </row>
    <row r="503" spans="71:71" ht="15" customHeight="1" x14ac:dyDescent="0.25">
      <c r="BS503"/>
    </row>
    <row r="504" spans="71:71" ht="15" customHeight="1" x14ac:dyDescent="0.25">
      <c r="BS504"/>
    </row>
    <row r="505" spans="71:71" ht="15" customHeight="1" x14ac:dyDescent="0.25">
      <c r="BS505"/>
    </row>
    <row r="506" spans="71:71" ht="15" customHeight="1" x14ac:dyDescent="0.25">
      <c r="BS506"/>
    </row>
    <row r="507" spans="71:71" ht="15" customHeight="1" x14ac:dyDescent="0.25">
      <c r="BS507"/>
    </row>
    <row r="508" spans="71:71" ht="15" customHeight="1" x14ac:dyDescent="0.25">
      <c r="BS508"/>
    </row>
    <row r="509" spans="71:71" ht="15" customHeight="1" x14ac:dyDescent="0.25">
      <c r="BS509"/>
    </row>
    <row r="510" spans="71:71" ht="15" customHeight="1" x14ac:dyDescent="0.25">
      <c r="BS510"/>
    </row>
    <row r="511" spans="71:71" ht="15" customHeight="1" x14ac:dyDescent="0.25">
      <c r="BS511"/>
    </row>
    <row r="512" spans="71:71" ht="15" customHeight="1" x14ac:dyDescent="0.25">
      <c r="BS512"/>
    </row>
    <row r="513" spans="71:71" ht="15" customHeight="1" x14ac:dyDescent="0.25">
      <c r="BS513"/>
    </row>
    <row r="514" spans="71:71" ht="15" customHeight="1" x14ac:dyDescent="0.25">
      <c r="BS514"/>
    </row>
    <row r="515" spans="71:71" ht="15" customHeight="1" x14ac:dyDescent="0.25">
      <c r="BS515"/>
    </row>
    <row r="516" spans="71:71" ht="15" customHeight="1" x14ac:dyDescent="0.25">
      <c r="BS516"/>
    </row>
    <row r="517" spans="71:71" ht="15" customHeight="1" x14ac:dyDescent="0.25">
      <c r="BS517"/>
    </row>
    <row r="518" spans="71:71" ht="15" customHeight="1" x14ac:dyDescent="0.25">
      <c r="BS518"/>
    </row>
    <row r="519" spans="71:71" ht="15" customHeight="1" x14ac:dyDescent="0.25">
      <c r="BS519"/>
    </row>
    <row r="520" spans="71:71" ht="15" customHeight="1" x14ac:dyDescent="0.25">
      <c r="BS520"/>
    </row>
    <row r="521" spans="71:71" ht="15" customHeight="1" x14ac:dyDescent="0.25">
      <c r="BS521"/>
    </row>
    <row r="522" spans="71:71" ht="15" customHeight="1" x14ac:dyDescent="0.25">
      <c r="BS522"/>
    </row>
    <row r="523" spans="71:71" ht="15" customHeight="1" x14ac:dyDescent="0.25">
      <c r="BS523"/>
    </row>
    <row r="524" spans="71:71" ht="15" customHeight="1" x14ac:dyDescent="0.25">
      <c r="BS524"/>
    </row>
    <row r="525" spans="71:71" ht="15" customHeight="1" x14ac:dyDescent="0.25">
      <c r="BS525"/>
    </row>
    <row r="526" spans="71:71" ht="15" customHeight="1" x14ac:dyDescent="0.25">
      <c r="BS526"/>
    </row>
    <row r="527" spans="71:71" ht="15" customHeight="1" x14ac:dyDescent="0.25">
      <c r="BS527"/>
    </row>
    <row r="528" spans="71:71" ht="15" customHeight="1" x14ac:dyDescent="0.25">
      <c r="BS528"/>
    </row>
    <row r="529" spans="71:71" ht="15" customHeight="1" x14ac:dyDescent="0.25">
      <c r="BS529"/>
    </row>
    <row r="530" spans="71:71" ht="15" customHeight="1" x14ac:dyDescent="0.25">
      <c r="BS530"/>
    </row>
    <row r="531" spans="71:71" ht="15" customHeight="1" x14ac:dyDescent="0.25">
      <c r="BS531"/>
    </row>
    <row r="532" spans="71:71" ht="15" customHeight="1" x14ac:dyDescent="0.25">
      <c r="BS532"/>
    </row>
    <row r="533" spans="71:71" ht="15" customHeight="1" x14ac:dyDescent="0.25">
      <c r="BS533"/>
    </row>
    <row r="534" spans="71:71" ht="15" customHeight="1" x14ac:dyDescent="0.25">
      <c r="BS534"/>
    </row>
    <row r="535" spans="71:71" ht="15" customHeight="1" x14ac:dyDescent="0.25">
      <c r="BS535"/>
    </row>
    <row r="536" spans="71:71" ht="15" customHeight="1" x14ac:dyDescent="0.25">
      <c r="BS536"/>
    </row>
    <row r="537" spans="71:71" ht="15" customHeight="1" x14ac:dyDescent="0.25">
      <c r="BS537"/>
    </row>
    <row r="538" spans="71:71" ht="15" customHeight="1" x14ac:dyDescent="0.25">
      <c r="BS538"/>
    </row>
    <row r="539" spans="71:71" ht="15" customHeight="1" x14ac:dyDescent="0.25">
      <c r="BS539"/>
    </row>
    <row r="540" spans="71:71" ht="15" customHeight="1" x14ac:dyDescent="0.25">
      <c r="BS540"/>
    </row>
    <row r="541" spans="71:71" ht="15" customHeight="1" x14ac:dyDescent="0.25">
      <c r="BS541"/>
    </row>
    <row r="542" spans="71:71" ht="15" customHeight="1" x14ac:dyDescent="0.25">
      <c r="BS542"/>
    </row>
    <row r="543" spans="71:71" ht="15" customHeight="1" x14ac:dyDescent="0.25">
      <c r="BS543"/>
    </row>
    <row r="544" spans="71:71" ht="15" customHeight="1" x14ac:dyDescent="0.25">
      <c r="BS544"/>
    </row>
    <row r="545" spans="71:71" ht="15" customHeight="1" x14ac:dyDescent="0.25">
      <c r="BS545"/>
    </row>
    <row r="546" spans="71:71" ht="15" customHeight="1" x14ac:dyDescent="0.25">
      <c r="BS546"/>
    </row>
    <row r="547" spans="71:71" ht="15" customHeight="1" x14ac:dyDescent="0.25">
      <c r="BS547"/>
    </row>
    <row r="548" spans="71:71" ht="15" customHeight="1" x14ac:dyDescent="0.25">
      <c r="BS548"/>
    </row>
    <row r="549" spans="71:71" ht="15" customHeight="1" x14ac:dyDescent="0.25">
      <c r="BS549"/>
    </row>
    <row r="550" spans="71:71" ht="15" customHeight="1" x14ac:dyDescent="0.25">
      <c r="BS550"/>
    </row>
    <row r="551" spans="71:71" ht="15" customHeight="1" x14ac:dyDescent="0.25">
      <c r="BS551"/>
    </row>
    <row r="552" spans="71:71" ht="15" customHeight="1" x14ac:dyDescent="0.25">
      <c r="BS552"/>
    </row>
    <row r="553" spans="71:71" ht="15" customHeight="1" x14ac:dyDescent="0.25">
      <c r="BS553"/>
    </row>
    <row r="554" spans="71:71" ht="15" customHeight="1" x14ac:dyDescent="0.25">
      <c r="BS554"/>
    </row>
    <row r="555" spans="71:71" ht="15" customHeight="1" x14ac:dyDescent="0.25">
      <c r="BS555"/>
    </row>
    <row r="556" spans="71:71" ht="15" customHeight="1" x14ac:dyDescent="0.25">
      <c r="BS556"/>
    </row>
    <row r="557" spans="71:71" ht="15" customHeight="1" x14ac:dyDescent="0.25">
      <c r="BS557"/>
    </row>
    <row r="558" spans="71:71" ht="15" customHeight="1" x14ac:dyDescent="0.25">
      <c r="BS558"/>
    </row>
    <row r="559" spans="71:71" ht="15" customHeight="1" x14ac:dyDescent="0.25">
      <c r="BS559"/>
    </row>
    <row r="560" spans="71:71" ht="15" customHeight="1" x14ac:dyDescent="0.25">
      <c r="BS560"/>
    </row>
    <row r="561" spans="71:71" ht="15" customHeight="1" x14ac:dyDescent="0.25">
      <c r="BS561"/>
    </row>
    <row r="562" spans="71:71" ht="15" customHeight="1" x14ac:dyDescent="0.25">
      <c r="BS562"/>
    </row>
    <row r="563" spans="71:71" ht="15" customHeight="1" x14ac:dyDescent="0.25">
      <c r="BS563"/>
    </row>
    <row r="564" spans="71:71" ht="15" customHeight="1" x14ac:dyDescent="0.25">
      <c r="BS564"/>
    </row>
    <row r="565" spans="71:71" ht="15" customHeight="1" x14ac:dyDescent="0.25">
      <c r="BS565"/>
    </row>
    <row r="566" spans="71:71" ht="15" customHeight="1" x14ac:dyDescent="0.25">
      <c r="BS566"/>
    </row>
    <row r="567" spans="71:71" ht="15" customHeight="1" x14ac:dyDescent="0.25">
      <c r="BS567"/>
    </row>
    <row r="568" spans="71:71" ht="15" customHeight="1" x14ac:dyDescent="0.25">
      <c r="BS568"/>
    </row>
    <row r="569" spans="71:71" ht="15" customHeight="1" x14ac:dyDescent="0.25">
      <c r="BS569"/>
    </row>
    <row r="570" spans="71:71" ht="15" customHeight="1" x14ac:dyDescent="0.25">
      <c r="BS570"/>
    </row>
    <row r="571" spans="71:71" ht="15" customHeight="1" x14ac:dyDescent="0.25">
      <c r="BS571"/>
    </row>
    <row r="572" spans="71:71" ht="15" customHeight="1" x14ac:dyDescent="0.25">
      <c r="BS572"/>
    </row>
    <row r="573" spans="71:71" ht="15" customHeight="1" x14ac:dyDescent="0.25">
      <c r="BS573"/>
    </row>
    <row r="574" spans="71:71" ht="15" customHeight="1" x14ac:dyDescent="0.25">
      <c r="BS574"/>
    </row>
    <row r="575" spans="71:71" ht="15" customHeight="1" x14ac:dyDescent="0.25">
      <c r="BS575"/>
    </row>
    <row r="576" spans="71:71" ht="15" customHeight="1" x14ac:dyDescent="0.25">
      <c r="BS576"/>
    </row>
    <row r="577" spans="71:71" ht="15" customHeight="1" x14ac:dyDescent="0.25">
      <c r="BS577"/>
    </row>
    <row r="578" spans="71:71" ht="15" customHeight="1" x14ac:dyDescent="0.25">
      <c r="BS578"/>
    </row>
    <row r="579" spans="71:71" ht="15" customHeight="1" x14ac:dyDescent="0.25">
      <c r="BS579"/>
    </row>
    <row r="580" spans="71:71" ht="15" customHeight="1" x14ac:dyDescent="0.25">
      <c r="BS580"/>
    </row>
    <row r="581" spans="71:71" ht="15" customHeight="1" x14ac:dyDescent="0.25">
      <c r="BS581"/>
    </row>
    <row r="582" spans="71:71" ht="15" customHeight="1" x14ac:dyDescent="0.25">
      <c r="BS582"/>
    </row>
    <row r="583" spans="71:71" ht="15" customHeight="1" x14ac:dyDescent="0.25">
      <c r="BS583"/>
    </row>
    <row r="584" spans="71:71" ht="15" customHeight="1" x14ac:dyDescent="0.25">
      <c r="BS584"/>
    </row>
    <row r="585" spans="71:71" ht="15" customHeight="1" x14ac:dyDescent="0.25">
      <c r="BS585"/>
    </row>
    <row r="586" spans="71:71" ht="15" customHeight="1" x14ac:dyDescent="0.25">
      <c r="BS586"/>
    </row>
    <row r="587" spans="71:71" ht="15" customHeight="1" x14ac:dyDescent="0.25">
      <c r="BS587"/>
    </row>
    <row r="588" spans="71:71" ht="15" customHeight="1" x14ac:dyDescent="0.25">
      <c r="BS588"/>
    </row>
    <row r="589" spans="71:71" ht="15" customHeight="1" x14ac:dyDescent="0.25">
      <c r="BS589"/>
    </row>
    <row r="590" spans="71:71" ht="15" customHeight="1" x14ac:dyDescent="0.25">
      <c r="BS590"/>
    </row>
    <row r="591" spans="71:71" ht="15" customHeight="1" x14ac:dyDescent="0.25">
      <c r="BS591"/>
    </row>
    <row r="592" spans="71:71" ht="15" customHeight="1" x14ac:dyDescent="0.25">
      <c r="BS592"/>
    </row>
    <row r="593" spans="71:71" ht="15" customHeight="1" x14ac:dyDescent="0.25">
      <c r="BS593"/>
    </row>
    <row r="594" spans="71:71" ht="15" customHeight="1" x14ac:dyDescent="0.25">
      <c r="BS594"/>
    </row>
    <row r="595" spans="71:71" ht="15" customHeight="1" x14ac:dyDescent="0.25">
      <c r="BS595"/>
    </row>
    <row r="596" spans="71:71" ht="15" customHeight="1" x14ac:dyDescent="0.25">
      <c r="BS596"/>
    </row>
    <row r="597" spans="71:71" ht="15" customHeight="1" x14ac:dyDescent="0.25">
      <c r="BS597"/>
    </row>
    <row r="598" spans="71:71" ht="15" customHeight="1" x14ac:dyDescent="0.25">
      <c r="BS598"/>
    </row>
    <row r="599" spans="71:71" ht="15" customHeight="1" x14ac:dyDescent="0.25">
      <c r="BS599"/>
    </row>
    <row r="600" spans="71:71" ht="15" customHeight="1" x14ac:dyDescent="0.25">
      <c r="BS600"/>
    </row>
    <row r="601" spans="71:71" ht="15" customHeight="1" x14ac:dyDescent="0.25">
      <c r="BS601"/>
    </row>
    <row r="602" spans="71:71" ht="15" customHeight="1" x14ac:dyDescent="0.25">
      <c r="BS602"/>
    </row>
    <row r="603" spans="71:71" ht="15" customHeight="1" x14ac:dyDescent="0.25">
      <c r="BS603"/>
    </row>
    <row r="604" spans="71:71" ht="15" customHeight="1" x14ac:dyDescent="0.25">
      <c r="BS604"/>
    </row>
    <row r="605" spans="71:71" ht="15" customHeight="1" x14ac:dyDescent="0.25">
      <c r="BS605"/>
    </row>
    <row r="606" spans="71:71" ht="15" customHeight="1" x14ac:dyDescent="0.25">
      <c r="BS606"/>
    </row>
    <row r="607" spans="71:71" ht="15" customHeight="1" x14ac:dyDescent="0.25">
      <c r="BS607"/>
    </row>
    <row r="608" spans="71:71" ht="15" customHeight="1" x14ac:dyDescent="0.25">
      <c r="BS608"/>
    </row>
    <row r="609" spans="71:71" ht="15" customHeight="1" x14ac:dyDescent="0.25">
      <c r="BS609"/>
    </row>
    <row r="610" spans="71:71" ht="15" customHeight="1" x14ac:dyDescent="0.25">
      <c r="BS610"/>
    </row>
    <row r="611" spans="71:71" ht="15" customHeight="1" x14ac:dyDescent="0.25">
      <c r="BS611"/>
    </row>
    <row r="612" spans="71:71" ht="15" customHeight="1" x14ac:dyDescent="0.25">
      <c r="BS612"/>
    </row>
    <row r="613" spans="71:71" ht="15" customHeight="1" x14ac:dyDescent="0.25">
      <c r="BS613"/>
    </row>
    <row r="614" spans="71:71" ht="15" customHeight="1" x14ac:dyDescent="0.25">
      <c r="BS614"/>
    </row>
    <row r="615" spans="71:71" ht="15" customHeight="1" x14ac:dyDescent="0.25">
      <c r="BS615"/>
    </row>
    <row r="616" spans="71:71" ht="15" customHeight="1" x14ac:dyDescent="0.25">
      <c r="BS616"/>
    </row>
    <row r="617" spans="71:71" ht="15" customHeight="1" x14ac:dyDescent="0.25">
      <c r="BS617"/>
    </row>
    <row r="618" spans="71:71" ht="15" customHeight="1" x14ac:dyDescent="0.25">
      <c r="BS618"/>
    </row>
    <row r="619" spans="71:71" ht="15" customHeight="1" x14ac:dyDescent="0.25">
      <c r="BS619"/>
    </row>
    <row r="620" spans="71:71" ht="15" customHeight="1" x14ac:dyDescent="0.25">
      <c r="BS620"/>
    </row>
    <row r="621" spans="71:71" ht="15" customHeight="1" x14ac:dyDescent="0.25">
      <c r="BS621"/>
    </row>
    <row r="622" spans="71:71" ht="15" customHeight="1" x14ac:dyDescent="0.25">
      <c r="BS622"/>
    </row>
    <row r="623" spans="71:71" ht="15" customHeight="1" x14ac:dyDescent="0.25">
      <c r="BS623"/>
    </row>
    <row r="624" spans="71:71" ht="15" customHeight="1" x14ac:dyDescent="0.25">
      <c r="BS624"/>
    </row>
    <row r="625" spans="71:71" ht="15" customHeight="1" x14ac:dyDescent="0.25">
      <c r="BS625"/>
    </row>
    <row r="626" spans="71:71" ht="15" customHeight="1" x14ac:dyDescent="0.25">
      <c r="BS626"/>
    </row>
    <row r="627" spans="71:71" ht="15" customHeight="1" x14ac:dyDescent="0.25">
      <c r="BS627"/>
    </row>
    <row r="628" spans="71:71" ht="15" customHeight="1" x14ac:dyDescent="0.25">
      <c r="BS628"/>
    </row>
    <row r="629" spans="71:71" ht="15" customHeight="1" x14ac:dyDescent="0.25">
      <c r="BS629"/>
    </row>
    <row r="630" spans="71:71" ht="15" customHeight="1" x14ac:dyDescent="0.25">
      <c r="BS630"/>
    </row>
    <row r="631" spans="71:71" ht="15" customHeight="1" x14ac:dyDescent="0.25">
      <c r="BS631"/>
    </row>
    <row r="632" spans="71:71" ht="15" customHeight="1" x14ac:dyDescent="0.25">
      <c r="BS632"/>
    </row>
    <row r="633" spans="71:71" ht="15" customHeight="1" x14ac:dyDescent="0.25">
      <c r="BS633"/>
    </row>
    <row r="634" spans="71:71" ht="15" customHeight="1" x14ac:dyDescent="0.25">
      <c r="BS634"/>
    </row>
    <row r="635" spans="71:71" ht="15" customHeight="1" x14ac:dyDescent="0.25">
      <c r="BS635"/>
    </row>
    <row r="636" spans="71:71" ht="15" customHeight="1" x14ac:dyDescent="0.25">
      <c r="BS636"/>
    </row>
    <row r="637" spans="71:71" ht="15" customHeight="1" x14ac:dyDescent="0.25">
      <c r="BS637"/>
    </row>
    <row r="638" spans="71:71" ht="15" customHeight="1" x14ac:dyDescent="0.25">
      <c r="BS638"/>
    </row>
    <row r="639" spans="71:71" ht="15" customHeight="1" x14ac:dyDescent="0.25">
      <c r="BS639"/>
    </row>
    <row r="640" spans="71:71" ht="15" customHeight="1" x14ac:dyDescent="0.25">
      <c r="BS640"/>
    </row>
    <row r="641" spans="71:71" ht="15" customHeight="1" x14ac:dyDescent="0.25">
      <c r="BS641"/>
    </row>
    <row r="642" spans="71:71" ht="15" customHeight="1" x14ac:dyDescent="0.25">
      <c r="BS642"/>
    </row>
    <row r="643" spans="71:71" ht="15" customHeight="1" x14ac:dyDescent="0.25">
      <c r="BS643"/>
    </row>
    <row r="644" spans="71:71" ht="15" customHeight="1" x14ac:dyDescent="0.25">
      <c r="BS644"/>
    </row>
    <row r="645" spans="71:71" ht="15" customHeight="1" x14ac:dyDescent="0.25">
      <c r="BS645"/>
    </row>
    <row r="646" spans="71:71" ht="15" customHeight="1" x14ac:dyDescent="0.25">
      <c r="BS646"/>
    </row>
    <row r="647" spans="71:71" ht="15" customHeight="1" x14ac:dyDescent="0.25">
      <c r="BS647"/>
    </row>
    <row r="648" spans="71:71" ht="15" customHeight="1" x14ac:dyDescent="0.25">
      <c r="BS648"/>
    </row>
    <row r="649" spans="71:71" ht="15" customHeight="1" x14ac:dyDescent="0.25">
      <c r="BS649"/>
    </row>
    <row r="650" spans="71:71" ht="15" customHeight="1" x14ac:dyDescent="0.25">
      <c r="BS650"/>
    </row>
    <row r="651" spans="71:71" ht="15" customHeight="1" x14ac:dyDescent="0.25">
      <c r="BS651"/>
    </row>
    <row r="652" spans="71:71" ht="15" customHeight="1" x14ac:dyDescent="0.25">
      <c r="BS652"/>
    </row>
    <row r="653" spans="71:71" ht="15" customHeight="1" x14ac:dyDescent="0.25">
      <c r="BS653"/>
    </row>
    <row r="654" spans="71:71" ht="15" customHeight="1" x14ac:dyDescent="0.25">
      <c r="BS654"/>
    </row>
    <row r="655" spans="71:71" ht="15" customHeight="1" x14ac:dyDescent="0.25">
      <c r="BS655"/>
    </row>
    <row r="656" spans="71:71" ht="15" customHeight="1" x14ac:dyDescent="0.25">
      <c r="BS656"/>
    </row>
    <row r="657" spans="71:71" ht="15" customHeight="1" x14ac:dyDescent="0.25">
      <c r="BS657"/>
    </row>
    <row r="658" spans="71:71" ht="15" customHeight="1" x14ac:dyDescent="0.25">
      <c r="BS658"/>
    </row>
    <row r="659" spans="71:71" ht="15" customHeight="1" x14ac:dyDescent="0.25">
      <c r="BS659"/>
    </row>
    <row r="660" spans="71:71" ht="15" customHeight="1" x14ac:dyDescent="0.25">
      <c r="BS660"/>
    </row>
    <row r="661" spans="71:71" ht="15" customHeight="1" x14ac:dyDescent="0.25">
      <c r="BS661"/>
    </row>
    <row r="662" spans="71:71" ht="15" customHeight="1" x14ac:dyDescent="0.25">
      <c r="BS662"/>
    </row>
    <row r="663" spans="71:71" ht="15" customHeight="1" x14ac:dyDescent="0.25">
      <c r="BS663"/>
    </row>
    <row r="664" spans="71:71" ht="15" customHeight="1" x14ac:dyDescent="0.25">
      <c r="BS664"/>
    </row>
    <row r="665" spans="71:71" ht="15" customHeight="1" x14ac:dyDescent="0.25">
      <c r="BS665"/>
    </row>
    <row r="666" spans="71:71" ht="15" customHeight="1" x14ac:dyDescent="0.25">
      <c r="BS666"/>
    </row>
    <row r="667" spans="71:71" ht="15" customHeight="1" x14ac:dyDescent="0.25">
      <c r="BS667"/>
    </row>
    <row r="668" spans="71:71" ht="15" customHeight="1" x14ac:dyDescent="0.25">
      <c r="BS668"/>
    </row>
    <row r="669" spans="71:71" ht="15" customHeight="1" x14ac:dyDescent="0.25">
      <c r="BS669"/>
    </row>
    <row r="670" spans="71:71" ht="15" customHeight="1" x14ac:dyDescent="0.25">
      <c r="BS670"/>
    </row>
    <row r="671" spans="71:71" ht="15" customHeight="1" x14ac:dyDescent="0.25">
      <c r="BS671"/>
    </row>
    <row r="672" spans="71:71" ht="15" customHeight="1" x14ac:dyDescent="0.25">
      <c r="BS672"/>
    </row>
    <row r="673" spans="71:71" ht="15" customHeight="1" x14ac:dyDescent="0.25">
      <c r="BS673"/>
    </row>
    <row r="674" spans="71:71" ht="15" customHeight="1" x14ac:dyDescent="0.25">
      <c r="BS674"/>
    </row>
    <row r="675" spans="71:71" ht="15" customHeight="1" x14ac:dyDescent="0.25">
      <c r="BS675"/>
    </row>
    <row r="676" spans="71:71" ht="15" customHeight="1" x14ac:dyDescent="0.25">
      <c r="BS676"/>
    </row>
    <row r="677" spans="71:71" ht="15" customHeight="1" x14ac:dyDescent="0.25">
      <c r="BS677"/>
    </row>
    <row r="678" spans="71:71" ht="15" customHeight="1" x14ac:dyDescent="0.25">
      <c r="BS678"/>
    </row>
    <row r="679" spans="71:71" ht="15" customHeight="1" x14ac:dyDescent="0.25">
      <c r="BS679"/>
    </row>
    <row r="680" spans="71:71" ht="15" customHeight="1" x14ac:dyDescent="0.25">
      <c r="BS680"/>
    </row>
    <row r="681" spans="71:71" ht="15" customHeight="1" x14ac:dyDescent="0.25">
      <c r="BS681"/>
    </row>
    <row r="682" spans="71:71" ht="15" customHeight="1" x14ac:dyDescent="0.25">
      <c r="BS682"/>
    </row>
    <row r="683" spans="71:71" ht="15" customHeight="1" x14ac:dyDescent="0.25">
      <c r="BS683"/>
    </row>
    <row r="684" spans="71:71" ht="15" customHeight="1" x14ac:dyDescent="0.25">
      <c r="BS684"/>
    </row>
    <row r="685" spans="71:71" ht="15" customHeight="1" x14ac:dyDescent="0.25">
      <c r="BS685"/>
    </row>
    <row r="686" spans="71:71" ht="15" customHeight="1" x14ac:dyDescent="0.25">
      <c r="BS686"/>
    </row>
    <row r="687" spans="71:71" ht="15" customHeight="1" x14ac:dyDescent="0.25">
      <c r="BS687"/>
    </row>
    <row r="688" spans="71:71" ht="15" customHeight="1" x14ac:dyDescent="0.25">
      <c r="BS688"/>
    </row>
    <row r="689" spans="71:71" ht="15" customHeight="1" x14ac:dyDescent="0.25">
      <c r="BS689"/>
    </row>
    <row r="690" spans="71:71" ht="15" customHeight="1" x14ac:dyDescent="0.25">
      <c r="BS690"/>
    </row>
    <row r="691" spans="71:71" ht="15" customHeight="1" x14ac:dyDescent="0.25">
      <c r="BS691"/>
    </row>
    <row r="692" spans="71:71" ht="15" customHeight="1" x14ac:dyDescent="0.25">
      <c r="BS692"/>
    </row>
    <row r="693" spans="71:71" ht="15" customHeight="1" x14ac:dyDescent="0.25">
      <c r="BS693"/>
    </row>
    <row r="694" spans="71:71" ht="15" customHeight="1" x14ac:dyDescent="0.25">
      <c r="BS694"/>
    </row>
    <row r="695" spans="71:71" ht="15" customHeight="1" x14ac:dyDescent="0.25">
      <c r="BS695"/>
    </row>
    <row r="696" spans="71:71" ht="15" customHeight="1" x14ac:dyDescent="0.25">
      <c r="BS696"/>
    </row>
    <row r="697" spans="71:71" ht="15" customHeight="1" x14ac:dyDescent="0.25">
      <c r="BS697"/>
    </row>
    <row r="698" spans="71:71" ht="15" customHeight="1" x14ac:dyDescent="0.25">
      <c r="BS698"/>
    </row>
    <row r="699" spans="71:71" ht="15" customHeight="1" x14ac:dyDescent="0.25">
      <c r="BS699"/>
    </row>
    <row r="700" spans="71:71" ht="15" customHeight="1" x14ac:dyDescent="0.25">
      <c r="BS700"/>
    </row>
    <row r="701" spans="71:71" ht="15" customHeight="1" x14ac:dyDescent="0.25">
      <c r="BS701"/>
    </row>
    <row r="702" spans="71:71" ht="15" customHeight="1" x14ac:dyDescent="0.25">
      <c r="BS702"/>
    </row>
    <row r="703" spans="71:71" ht="15" customHeight="1" x14ac:dyDescent="0.25">
      <c r="BS703"/>
    </row>
    <row r="704" spans="71:71" ht="15" customHeight="1" x14ac:dyDescent="0.25">
      <c r="BS704"/>
    </row>
    <row r="705" spans="71:71" ht="15" customHeight="1" x14ac:dyDescent="0.25">
      <c r="BS705"/>
    </row>
    <row r="706" spans="71:71" ht="15" customHeight="1" x14ac:dyDescent="0.25">
      <c r="BS706"/>
    </row>
    <row r="707" spans="71:71" ht="15" customHeight="1" x14ac:dyDescent="0.25">
      <c r="BS707"/>
    </row>
    <row r="708" spans="71:71" ht="15" customHeight="1" x14ac:dyDescent="0.25">
      <c r="BS708"/>
    </row>
    <row r="709" spans="71:71" ht="15" customHeight="1" x14ac:dyDescent="0.25">
      <c r="BS709"/>
    </row>
    <row r="710" spans="71:71" ht="15" customHeight="1" x14ac:dyDescent="0.25">
      <c r="BS710"/>
    </row>
    <row r="711" spans="71:71" ht="15" customHeight="1" x14ac:dyDescent="0.25">
      <c r="BS711"/>
    </row>
    <row r="712" spans="71:71" ht="15" customHeight="1" x14ac:dyDescent="0.25">
      <c r="BS712"/>
    </row>
    <row r="713" spans="71:71" ht="15" customHeight="1" x14ac:dyDescent="0.25">
      <c r="BS713"/>
    </row>
    <row r="714" spans="71:71" ht="15" customHeight="1" x14ac:dyDescent="0.25">
      <c r="BS714"/>
    </row>
    <row r="715" spans="71:71" ht="15" customHeight="1" x14ac:dyDescent="0.25">
      <c r="BS715"/>
    </row>
    <row r="716" spans="71:71" ht="15" customHeight="1" x14ac:dyDescent="0.25">
      <c r="BS716"/>
    </row>
    <row r="717" spans="71:71" ht="15" customHeight="1" x14ac:dyDescent="0.25">
      <c r="BS717"/>
    </row>
    <row r="718" spans="71:71" ht="15" customHeight="1" x14ac:dyDescent="0.25">
      <c r="BS718"/>
    </row>
    <row r="719" spans="71:71" ht="15" customHeight="1" x14ac:dyDescent="0.25">
      <c r="BS719"/>
    </row>
    <row r="720" spans="71:71" ht="15" customHeight="1" x14ac:dyDescent="0.25">
      <c r="BS720"/>
    </row>
    <row r="721" spans="71:71" ht="15" customHeight="1" x14ac:dyDescent="0.25">
      <c r="BS721"/>
    </row>
    <row r="722" spans="71:71" ht="15" customHeight="1" x14ac:dyDescent="0.25">
      <c r="BS722"/>
    </row>
    <row r="723" spans="71:71" ht="15" customHeight="1" x14ac:dyDescent="0.25">
      <c r="BS723"/>
    </row>
    <row r="724" spans="71:71" ht="15" customHeight="1" x14ac:dyDescent="0.25">
      <c r="BS724"/>
    </row>
    <row r="725" spans="71:71" ht="15" customHeight="1" x14ac:dyDescent="0.25">
      <c r="BS725"/>
    </row>
    <row r="726" spans="71:71" ht="15" customHeight="1" x14ac:dyDescent="0.25">
      <c r="BS726"/>
    </row>
    <row r="727" spans="71:71" ht="15" customHeight="1" x14ac:dyDescent="0.25">
      <c r="BS727"/>
    </row>
    <row r="728" spans="71:71" ht="15" customHeight="1" x14ac:dyDescent="0.25">
      <c r="BS728"/>
    </row>
    <row r="729" spans="71:71" ht="15" customHeight="1" x14ac:dyDescent="0.25">
      <c r="BS729"/>
    </row>
    <row r="730" spans="71:71" ht="15" customHeight="1" x14ac:dyDescent="0.25">
      <c r="BS730"/>
    </row>
    <row r="731" spans="71:71" ht="15" customHeight="1" x14ac:dyDescent="0.25">
      <c r="BS731"/>
    </row>
    <row r="732" spans="71:71" ht="15" customHeight="1" x14ac:dyDescent="0.25">
      <c r="BS732"/>
    </row>
    <row r="733" spans="71:71" ht="15" customHeight="1" x14ac:dyDescent="0.25">
      <c r="BS733"/>
    </row>
    <row r="734" spans="71:71" ht="15" customHeight="1" x14ac:dyDescent="0.25">
      <c r="BS734"/>
    </row>
    <row r="735" spans="71:71" ht="15" customHeight="1" x14ac:dyDescent="0.25">
      <c r="BS735"/>
    </row>
    <row r="736" spans="71:71" ht="15" customHeight="1" x14ac:dyDescent="0.25">
      <c r="BS736"/>
    </row>
    <row r="737" spans="71:71" ht="15" customHeight="1" x14ac:dyDescent="0.25">
      <c r="BS737"/>
    </row>
    <row r="738" spans="71:71" ht="15" customHeight="1" x14ac:dyDescent="0.25">
      <c r="BS738"/>
    </row>
    <row r="739" spans="71:71" ht="15" customHeight="1" x14ac:dyDescent="0.25">
      <c r="BS739"/>
    </row>
    <row r="740" spans="71:71" ht="15" customHeight="1" x14ac:dyDescent="0.25">
      <c r="BS740"/>
    </row>
    <row r="741" spans="71:71" ht="15" customHeight="1" x14ac:dyDescent="0.25">
      <c r="BS741"/>
    </row>
    <row r="742" spans="71:71" ht="15" customHeight="1" x14ac:dyDescent="0.25">
      <c r="BS742"/>
    </row>
    <row r="743" spans="71:71" ht="15" customHeight="1" x14ac:dyDescent="0.25">
      <c r="BS743"/>
    </row>
    <row r="744" spans="71:71" ht="15" customHeight="1" x14ac:dyDescent="0.25">
      <c r="BS744"/>
    </row>
    <row r="745" spans="71:71" ht="15" customHeight="1" x14ac:dyDescent="0.25">
      <c r="BS745"/>
    </row>
    <row r="746" spans="71:71" ht="15" customHeight="1" x14ac:dyDescent="0.25">
      <c r="BS746"/>
    </row>
    <row r="747" spans="71:71" ht="15" customHeight="1" x14ac:dyDescent="0.25">
      <c r="BS747"/>
    </row>
    <row r="748" spans="71:71" ht="15" customHeight="1" x14ac:dyDescent="0.25">
      <c r="BS748"/>
    </row>
    <row r="749" spans="71:71" ht="15" customHeight="1" x14ac:dyDescent="0.25">
      <c r="BS749"/>
    </row>
    <row r="750" spans="71:71" ht="15" customHeight="1" x14ac:dyDescent="0.25">
      <c r="BS750"/>
    </row>
    <row r="751" spans="71:71" ht="15" customHeight="1" x14ac:dyDescent="0.25">
      <c r="BS751"/>
    </row>
    <row r="752" spans="71:71" ht="15" customHeight="1" x14ac:dyDescent="0.25">
      <c r="BS752"/>
    </row>
    <row r="753" spans="71:71" ht="15" customHeight="1" x14ac:dyDescent="0.25">
      <c r="BS753"/>
    </row>
    <row r="754" spans="71:71" ht="15" customHeight="1" x14ac:dyDescent="0.25">
      <c r="BS754"/>
    </row>
    <row r="755" spans="71:71" ht="15" customHeight="1" x14ac:dyDescent="0.25">
      <c r="BS755"/>
    </row>
    <row r="756" spans="71:71" ht="15" customHeight="1" x14ac:dyDescent="0.25">
      <c r="BS756"/>
    </row>
    <row r="757" spans="71:71" ht="15" customHeight="1" x14ac:dyDescent="0.25">
      <c r="BS757"/>
    </row>
    <row r="758" spans="71:71" ht="15" customHeight="1" x14ac:dyDescent="0.25">
      <c r="BS758"/>
    </row>
    <row r="759" spans="71:71" ht="15" customHeight="1" x14ac:dyDescent="0.25">
      <c r="BS759"/>
    </row>
    <row r="760" spans="71:71" ht="15" customHeight="1" x14ac:dyDescent="0.25">
      <c r="BS760"/>
    </row>
    <row r="761" spans="71:71" ht="15" customHeight="1" x14ac:dyDescent="0.25">
      <c r="BS761"/>
    </row>
    <row r="762" spans="71:71" ht="15" customHeight="1" x14ac:dyDescent="0.25">
      <c r="BS762"/>
    </row>
    <row r="763" spans="71:71" ht="15" customHeight="1" x14ac:dyDescent="0.25">
      <c r="BS763"/>
    </row>
    <row r="764" spans="71:71" ht="15" customHeight="1" x14ac:dyDescent="0.25">
      <c r="BS764"/>
    </row>
    <row r="765" spans="71:71" ht="15" customHeight="1" x14ac:dyDescent="0.25">
      <c r="BS765"/>
    </row>
    <row r="766" spans="71:71" ht="15" customHeight="1" x14ac:dyDescent="0.25">
      <c r="BS766"/>
    </row>
    <row r="767" spans="71:71" ht="15" customHeight="1" x14ac:dyDescent="0.25">
      <c r="BS767"/>
    </row>
    <row r="768" spans="71:71" ht="15" customHeight="1" x14ac:dyDescent="0.25">
      <c r="BS768"/>
    </row>
    <row r="769" spans="71:71" ht="15" customHeight="1" x14ac:dyDescent="0.25">
      <c r="BS769"/>
    </row>
    <row r="770" spans="71:71" ht="15" customHeight="1" x14ac:dyDescent="0.25">
      <c r="BS770"/>
    </row>
    <row r="771" spans="71:71" ht="15" customHeight="1" x14ac:dyDescent="0.25">
      <c r="BS771"/>
    </row>
    <row r="772" spans="71:71" ht="15" customHeight="1" x14ac:dyDescent="0.25">
      <c r="BS772"/>
    </row>
    <row r="773" spans="71:71" ht="15" customHeight="1" x14ac:dyDescent="0.25">
      <c r="BS773"/>
    </row>
    <row r="774" spans="71:71" ht="15" customHeight="1" x14ac:dyDescent="0.25">
      <c r="BS774"/>
    </row>
    <row r="775" spans="71:71" ht="15" customHeight="1" x14ac:dyDescent="0.25">
      <c r="BS775"/>
    </row>
    <row r="776" spans="71:71" ht="15" customHeight="1" x14ac:dyDescent="0.25">
      <c r="BS776"/>
    </row>
    <row r="777" spans="71:71" ht="15" customHeight="1" x14ac:dyDescent="0.25">
      <c r="BS777"/>
    </row>
    <row r="778" spans="71:71" ht="15" customHeight="1" x14ac:dyDescent="0.25">
      <c r="BS778"/>
    </row>
    <row r="779" spans="71:71" ht="15" customHeight="1" x14ac:dyDescent="0.25">
      <c r="BS779"/>
    </row>
    <row r="780" spans="71:71" ht="15" customHeight="1" x14ac:dyDescent="0.25">
      <c r="BS780"/>
    </row>
    <row r="781" spans="71:71" ht="15" customHeight="1" x14ac:dyDescent="0.25">
      <c r="BS781"/>
    </row>
    <row r="782" spans="71:71" ht="15" customHeight="1" x14ac:dyDescent="0.25">
      <c r="BS782"/>
    </row>
    <row r="783" spans="71:71" ht="15" customHeight="1" x14ac:dyDescent="0.25">
      <c r="BS783"/>
    </row>
    <row r="784" spans="71:71" ht="15" customHeight="1" x14ac:dyDescent="0.25">
      <c r="BS784"/>
    </row>
    <row r="785" spans="71:71" ht="15" customHeight="1" x14ac:dyDescent="0.25">
      <c r="BS785"/>
    </row>
    <row r="786" spans="71:71" ht="15" customHeight="1" x14ac:dyDescent="0.25">
      <c r="BS786"/>
    </row>
    <row r="787" spans="71:71" ht="15" customHeight="1" x14ac:dyDescent="0.25">
      <c r="BS787"/>
    </row>
    <row r="788" spans="71:71" ht="15" customHeight="1" x14ac:dyDescent="0.25">
      <c r="BS788"/>
    </row>
    <row r="789" spans="71:71" ht="15" customHeight="1" x14ac:dyDescent="0.25">
      <c r="BS789"/>
    </row>
    <row r="790" spans="71:71" ht="15" customHeight="1" x14ac:dyDescent="0.25">
      <c r="BS790"/>
    </row>
    <row r="791" spans="71:71" ht="15" customHeight="1" x14ac:dyDescent="0.25">
      <c r="BS791"/>
    </row>
    <row r="792" spans="71:71" ht="15" customHeight="1" x14ac:dyDescent="0.25">
      <c r="BS792"/>
    </row>
    <row r="793" spans="71:71" ht="15" customHeight="1" x14ac:dyDescent="0.25">
      <c r="BS793"/>
    </row>
    <row r="794" spans="71:71" ht="15" customHeight="1" x14ac:dyDescent="0.25">
      <c r="BS794"/>
    </row>
    <row r="795" spans="71:71" ht="15" customHeight="1" x14ac:dyDescent="0.25">
      <c r="BS795"/>
    </row>
    <row r="796" spans="71:71" ht="15" customHeight="1" x14ac:dyDescent="0.25">
      <c r="BS796"/>
    </row>
    <row r="797" spans="71:71" ht="15" customHeight="1" x14ac:dyDescent="0.25">
      <c r="BS797"/>
    </row>
    <row r="798" spans="71:71" ht="15" customHeight="1" x14ac:dyDescent="0.25">
      <c r="BS798"/>
    </row>
    <row r="799" spans="71:71" ht="15" customHeight="1" x14ac:dyDescent="0.25">
      <c r="BS799"/>
    </row>
    <row r="800" spans="71:71" ht="15" customHeight="1" x14ac:dyDescent="0.25">
      <c r="BS800"/>
    </row>
    <row r="801" spans="71:71" ht="15" customHeight="1" x14ac:dyDescent="0.25">
      <c r="BS801"/>
    </row>
    <row r="802" spans="71:71" ht="15" customHeight="1" x14ac:dyDescent="0.25">
      <c r="BS802"/>
    </row>
    <row r="803" spans="71:71" ht="15" customHeight="1" x14ac:dyDescent="0.25">
      <c r="BS803"/>
    </row>
    <row r="804" spans="71:71" ht="15" customHeight="1" x14ac:dyDescent="0.25">
      <c r="BS804"/>
    </row>
    <row r="805" spans="71:71" ht="15" customHeight="1" x14ac:dyDescent="0.25">
      <c r="BS805"/>
    </row>
    <row r="806" spans="71:71" ht="15" customHeight="1" x14ac:dyDescent="0.25">
      <c r="BS806"/>
    </row>
    <row r="807" spans="71:71" ht="15" customHeight="1" x14ac:dyDescent="0.25">
      <c r="BS807"/>
    </row>
    <row r="808" spans="71:71" ht="15" customHeight="1" x14ac:dyDescent="0.25">
      <c r="BS808"/>
    </row>
    <row r="809" spans="71:71" ht="15" customHeight="1" x14ac:dyDescent="0.25">
      <c r="BS809"/>
    </row>
    <row r="810" spans="71:71" ht="15" customHeight="1" x14ac:dyDescent="0.25">
      <c r="BS810"/>
    </row>
    <row r="811" spans="71:71" ht="15" customHeight="1" x14ac:dyDescent="0.25">
      <c r="BS811"/>
    </row>
    <row r="812" spans="71:71" ht="15" customHeight="1" x14ac:dyDescent="0.25">
      <c r="BS812"/>
    </row>
    <row r="813" spans="71:71" ht="15" customHeight="1" x14ac:dyDescent="0.25">
      <c r="BS813"/>
    </row>
    <row r="814" spans="71:71" ht="15" customHeight="1" x14ac:dyDescent="0.25">
      <c r="BS814"/>
    </row>
    <row r="815" spans="71:71" ht="15" customHeight="1" x14ac:dyDescent="0.25">
      <c r="BS815"/>
    </row>
    <row r="816" spans="71:71" ht="15" customHeight="1" x14ac:dyDescent="0.25">
      <c r="BS816"/>
    </row>
    <row r="817" spans="71:71" ht="15" customHeight="1" x14ac:dyDescent="0.25">
      <c r="BS817"/>
    </row>
    <row r="818" spans="71:71" ht="15" customHeight="1" x14ac:dyDescent="0.25">
      <c r="BS818"/>
    </row>
    <row r="819" spans="71:71" ht="15" customHeight="1" x14ac:dyDescent="0.25">
      <c r="BS819"/>
    </row>
    <row r="820" spans="71:71" ht="15" customHeight="1" x14ac:dyDescent="0.25">
      <c r="BS820"/>
    </row>
    <row r="821" spans="71:71" ht="15" customHeight="1" x14ac:dyDescent="0.25">
      <c r="BS821"/>
    </row>
    <row r="822" spans="71:71" ht="15" customHeight="1" x14ac:dyDescent="0.25">
      <c r="BS822"/>
    </row>
    <row r="823" spans="71:71" ht="15" customHeight="1" x14ac:dyDescent="0.25">
      <c r="BS823"/>
    </row>
    <row r="824" spans="71:71" ht="15" customHeight="1" x14ac:dyDescent="0.25">
      <c r="BS824"/>
    </row>
    <row r="825" spans="71:71" ht="15" customHeight="1" x14ac:dyDescent="0.25">
      <c r="BS825"/>
    </row>
    <row r="826" spans="71:71" ht="15" customHeight="1" x14ac:dyDescent="0.25">
      <c r="BS826"/>
    </row>
    <row r="827" spans="71:71" ht="15" customHeight="1" x14ac:dyDescent="0.25">
      <c r="BS827"/>
    </row>
    <row r="828" spans="71:71" ht="15" customHeight="1" x14ac:dyDescent="0.25">
      <c r="BS828"/>
    </row>
    <row r="829" spans="71:71" ht="15" customHeight="1" x14ac:dyDescent="0.25">
      <c r="BS829"/>
    </row>
    <row r="830" spans="71:71" ht="15" customHeight="1" x14ac:dyDescent="0.25">
      <c r="BS830"/>
    </row>
    <row r="831" spans="71:71" ht="15" customHeight="1" x14ac:dyDescent="0.25">
      <c r="BS831"/>
    </row>
    <row r="832" spans="71:71" ht="15" customHeight="1" x14ac:dyDescent="0.25">
      <c r="BS832"/>
    </row>
    <row r="833" spans="71:71" ht="15" customHeight="1" x14ac:dyDescent="0.25">
      <c r="BS833"/>
    </row>
    <row r="834" spans="71:71" ht="15" customHeight="1" x14ac:dyDescent="0.25">
      <c r="BS834"/>
    </row>
    <row r="835" spans="71:71" ht="15" customHeight="1" x14ac:dyDescent="0.25">
      <c r="BS835"/>
    </row>
    <row r="836" spans="71:71" ht="15" customHeight="1" x14ac:dyDescent="0.25">
      <c r="BS836"/>
    </row>
    <row r="837" spans="71:71" ht="15" customHeight="1" x14ac:dyDescent="0.25">
      <c r="BS837"/>
    </row>
    <row r="838" spans="71:71" ht="15" customHeight="1" x14ac:dyDescent="0.25">
      <c r="BS838"/>
    </row>
    <row r="839" spans="71:71" ht="15" customHeight="1" x14ac:dyDescent="0.25">
      <c r="BS839"/>
    </row>
    <row r="840" spans="71:71" ht="15" customHeight="1" x14ac:dyDescent="0.25">
      <c r="BS840"/>
    </row>
    <row r="841" spans="71:71" ht="15" customHeight="1" x14ac:dyDescent="0.25">
      <c r="BS841"/>
    </row>
    <row r="842" spans="71:71" ht="15" customHeight="1" x14ac:dyDescent="0.25">
      <c r="BS842"/>
    </row>
    <row r="843" spans="71:71" ht="15" customHeight="1" x14ac:dyDescent="0.25">
      <c r="BS843"/>
    </row>
    <row r="844" spans="71:71" ht="15" customHeight="1" x14ac:dyDescent="0.25">
      <c r="BS844"/>
    </row>
    <row r="845" spans="71:71" ht="15" customHeight="1" x14ac:dyDescent="0.25">
      <c r="BS845"/>
    </row>
    <row r="846" spans="71:71" ht="15" customHeight="1" x14ac:dyDescent="0.25">
      <c r="BS846"/>
    </row>
    <row r="847" spans="71:71" ht="15" customHeight="1" x14ac:dyDescent="0.25">
      <c r="BS847"/>
    </row>
    <row r="848" spans="71:71" ht="15" customHeight="1" x14ac:dyDescent="0.25">
      <c r="BS848"/>
    </row>
    <row r="849" spans="71:71" ht="15" customHeight="1" x14ac:dyDescent="0.25">
      <c r="BS849"/>
    </row>
    <row r="850" spans="71:71" ht="15" customHeight="1" x14ac:dyDescent="0.25">
      <c r="BS850"/>
    </row>
    <row r="851" spans="71:71" ht="15" customHeight="1" x14ac:dyDescent="0.25">
      <c r="BS851"/>
    </row>
    <row r="852" spans="71:71" ht="15" customHeight="1" x14ac:dyDescent="0.25">
      <c r="BS852"/>
    </row>
    <row r="853" spans="71:71" ht="15" customHeight="1" x14ac:dyDescent="0.25">
      <c r="BS853"/>
    </row>
    <row r="854" spans="71:71" ht="15" customHeight="1" x14ac:dyDescent="0.25">
      <c r="BS854"/>
    </row>
    <row r="855" spans="71:71" ht="15" customHeight="1" x14ac:dyDescent="0.25">
      <c r="BS855"/>
    </row>
    <row r="856" spans="71:71" ht="15" customHeight="1" x14ac:dyDescent="0.25">
      <c r="BS856"/>
    </row>
    <row r="857" spans="71:71" ht="15" customHeight="1" x14ac:dyDescent="0.25">
      <c r="BS857"/>
    </row>
    <row r="858" spans="71:71" ht="15" customHeight="1" x14ac:dyDescent="0.25">
      <c r="BS858"/>
    </row>
    <row r="859" spans="71:71" ht="15" customHeight="1" x14ac:dyDescent="0.25">
      <c r="BS859"/>
    </row>
    <row r="860" spans="71:71" ht="15" customHeight="1" x14ac:dyDescent="0.25">
      <c r="BS860"/>
    </row>
    <row r="861" spans="71:71" ht="15" customHeight="1" x14ac:dyDescent="0.25">
      <c r="BS861"/>
    </row>
    <row r="862" spans="71:71" ht="15" customHeight="1" x14ac:dyDescent="0.25">
      <c r="BS862"/>
    </row>
    <row r="863" spans="71:71" ht="15" customHeight="1" x14ac:dyDescent="0.25">
      <c r="BS863"/>
    </row>
    <row r="864" spans="71:71" ht="15" customHeight="1" x14ac:dyDescent="0.25">
      <c r="BS864"/>
    </row>
    <row r="865" spans="71:71" ht="15" customHeight="1" x14ac:dyDescent="0.25">
      <c r="BS865"/>
    </row>
    <row r="866" spans="71:71" ht="15" customHeight="1" x14ac:dyDescent="0.25">
      <c r="BS866"/>
    </row>
    <row r="867" spans="71:71" ht="15" customHeight="1" x14ac:dyDescent="0.25">
      <c r="BS867"/>
    </row>
    <row r="868" spans="71:71" ht="15" customHeight="1" x14ac:dyDescent="0.25">
      <c r="BS868"/>
    </row>
    <row r="869" spans="71:71" ht="15" customHeight="1" x14ac:dyDescent="0.25">
      <c r="BS869"/>
    </row>
    <row r="870" spans="71:71" ht="15" customHeight="1" x14ac:dyDescent="0.25">
      <c r="BS870"/>
    </row>
    <row r="871" spans="71:71" ht="15" customHeight="1" x14ac:dyDescent="0.25">
      <c r="BS871"/>
    </row>
    <row r="872" spans="71:71" ht="15" customHeight="1" x14ac:dyDescent="0.25">
      <c r="BS872"/>
    </row>
    <row r="873" spans="71:71" ht="15" customHeight="1" x14ac:dyDescent="0.25">
      <c r="BS873"/>
    </row>
    <row r="874" spans="71:71" ht="15" customHeight="1" x14ac:dyDescent="0.25">
      <c r="BS874"/>
    </row>
    <row r="875" spans="71:71" ht="15" customHeight="1" x14ac:dyDescent="0.25">
      <c r="BS875"/>
    </row>
    <row r="876" spans="71:71" ht="15" customHeight="1" x14ac:dyDescent="0.25">
      <c r="BS876"/>
    </row>
    <row r="877" spans="71:71" ht="15" customHeight="1" x14ac:dyDescent="0.25">
      <c r="BS877"/>
    </row>
    <row r="878" spans="71:71" ht="15" customHeight="1" x14ac:dyDescent="0.25">
      <c r="BS878"/>
    </row>
    <row r="879" spans="71:71" ht="15" customHeight="1" x14ac:dyDescent="0.25">
      <c r="BS879"/>
    </row>
    <row r="880" spans="71:71" ht="15" customHeight="1" x14ac:dyDescent="0.25">
      <c r="BS880"/>
    </row>
    <row r="881" spans="71:71" ht="15" customHeight="1" x14ac:dyDescent="0.25">
      <c r="BS881"/>
    </row>
    <row r="882" spans="71:71" ht="15" customHeight="1" x14ac:dyDescent="0.25">
      <c r="BS882"/>
    </row>
    <row r="883" spans="71:71" ht="15" customHeight="1" x14ac:dyDescent="0.25">
      <c r="BS883"/>
    </row>
    <row r="884" spans="71:71" ht="15" customHeight="1" x14ac:dyDescent="0.25">
      <c r="BS884"/>
    </row>
    <row r="885" spans="71:71" ht="15" customHeight="1" x14ac:dyDescent="0.25">
      <c r="BS885"/>
    </row>
    <row r="886" spans="71:71" ht="15" customHeight="1" x14ac:dyDescent="0.25">
      <c r="BS886"/>
    </row>
    <row r="887" spans="71:71" ht="15" customHeight="1" x14ac:dyDescent="0.25">
      <c r="BS887"/>
    </row>
    <row r="888" spans="71:71" ht="15" customHeight="1" x14ac:dyDescent="0.25">
      <c r="BS888"/>
    </row>
    <row r="889" spans="71:71" ht="15" customHeight="1" x14ac:dyDescent="0.25">
      <c r="BS889"/>
    </row>
    <row r="890" spans="71:71" ht="15" customHeight="1" x14ac:dyDescent="0.25">
      <c r="BS890"/>
    </row>
    <row r="891" spans="71:71" ht="15" customHeight="1" x14ac:dyDescent="0.25">
      <c r="BS891"/>
    </row>
    <row r="892" spans="71:71" ht="15" customHeight="1" x14ac:dyDescent="0.25">
      <c r="BS892"/>
    </row>
    <row r="893" spans="71:71" ht="15" customHeight="1" x14ac:dyDescent="0.25">
      <c r="BS893"/>
    </row>
    <row r="894" spans="71:71" ht="15" customHeight="1" x14ac:dyDescent="0.25">
      <c r="BS894"/>
    </row>
    <row r="895" spans="71:71" ht="15" customHeight="1" x14ac:dyDescent="0.25">
      <c r="BS895"/>
    </row>
    <row r="896" spans="71:71" ht="15" customHeight="1" x14ac:dyDescent="0.25">
      <c r="BS896"/>
    </row>
    <row r="897" spans="71:71" ht="15" customHeight="1" x14ac:dyDescent="0.25">
      <c r="BS897"/>
    </row>
    <row r="898" spans="71:71" ht="15" customHeight="1" x14ac:dyDescent="0.25">
      <c r="BS898"/>
    </row>
    <row r="899" spans="71:71" ht="15" customHeight="1" x14ac:dyDescent="0.25">
      <c r="BS899"/>
    </row>
    <row r="900" spans="71:71" ht="15" customHeight="1" x14ac:dyDescent="0.25">
      <c r="BS900"/>
    </row>
    <row r="901" spans="71:71" ht="15" customHeight="1" x14ac:dyDescent="0.25">
      <c r="BS901"/>
    </row>
    <row r="902" spans="71:71" ht="15" customHeight="1" x14ac:dyDescent="0.25">
      <c r="BS902"/>
    </row>
    <row r="903" spans="71:71" ht="15" customHeight="1" x14ac:dyDescent="0.25">
      <c r="BS903"/>
    </row>
    <row r="904" spans="71:71" ht="15" customHeight="1" x14ac:dyDescent="0.25">
      <c r="BS904"/>
    </row>
    <row r="905" spans="71:71" ht="15" customHeight="1" x14ac:dyDescent="0.25">
      <c r="BS905"/>
    </row>
    <row r="906" spans="71:71" ht="15" customHeight="1" x14ac:dyDescent="0.25">
      <c r="BS906"/>
    </row>
    <row r="907" spans="71:71" ht="15" customHeight="1" x14ac:dyDescent="0.25">
      <c r="BS907"/>
    </row>
    <row r="908" spans="71:71" ht="15" customHeight="1" x14ac:dyDescent="0.25">
      <c r="BS908"/>
    </row>
    <row r="909" spans="71:71" ht="15" customHeight="1" x14ac:dyDescent="0.25">
      <c r="BS909"/>
    </row>
    <row r="910" spans="71:71" ht="15" customHeight="1" x14ac:dyDescent="0.25">
      <c r="BS910"/>
    </row>
    <row r="911" spans="71:71" ht="15" customHeight="1" x14ac:dyDescent="0.25">
      <c r="BS911"/>
    </row>
    <row r="912" spans="71:71" ht="15" customHeight="1" x14ac:dyDescent="0.25">
      <c r="BS912"/>
    </row>
    <row r="913" spans="71:71" ht="15" customHeight="1" x14ac:dyDescent="0.25">
      <c r="BS913"/>
    </row>
    <row r="914" spans="71:71" ht="15" customHeight="1" x14ac:dyDescent="0.25">
      <c r="BS914"/>
    </row>
    <row r="915" spans="71:71" ht="15" customHeight="1" x14ac:dyDescent="0.25">
      <c r="BS915"/>
    </row>
    <row r="916" spans="71:71" ht="15" customHeight="1" x14ac:dyDescent="0.25">
      <c r="BS916"/>
    </row>
    <row r="917" spans="71:71" ht="15" customHeight="1" x14ac:dyDescent="0.25">
      <c r="BS917"/>
    </row>
    <row r="918" spans="71:71" ht="15" customHeight="1" x14ac:dyDescent="0.25">
      <c r="BS918"/>
    </row>
    <row r="919" spans="71:71" ht="15" customHeight="1" x14ac:dyDescent="0.25">
      <c r="BS919"/>
    </row>
    <row r="920" spans="71:71" ht="15" customHeight="1" x14ac:dyDescent="0.25">
      <c r="BS920"/>
    </row>
    <row r="921" spans="71:71" ht="15" customHeight="1" x14ac:dyDescent="0.25">
      <c r="BS921"/>
    </row>
    <row r="922" spans="71:71" ht="15" customHeight="1" x14ac:dyDescent="0.25">
      <c r="BS922"/>
    </row>
    <row r="923" spans="71:71" ht="15" customHeight="1" x14ac:dyDescent="0.25">
      <c r="BS923"/>
    </row>
    <row r="924" spans="71:71" ht="15" customHeight="1" x14ac:dyDescent="0.25">
      <c r="BS924"/>
    </row>
    <row r="925" spans="71:71" ht="15" customHeight="1" x14ac:dyDescent="0.25">
      <c r="BS925"/>
    </row>
    <row r="926" spans="71:71" ht="15" customHeight="1" x14ac:dyDescent="0.25">
      <c r="BS926"/>
    </row>
    <row r="927" spans="71:71" ht="15" customHeight="1" x14ac:dyDescent="0.25">
      <c r="BS927"/>
    </row>
    <row r="928" spans="71:71" ht="15" customHeight="1" x14ac:dyDescent="0.25">
      <c r="BS928"/>
    </row>
    <row r="929" spans="71:71" ht="15" customHeight="1" x14ac:dyDescent="0.25">
      <c r="BS929"/>
    </row>
    <row r="930" spans="71:71" ht="15" customHeight="1" x14ac:dyDescent="0.25">
      <c r="BS930"/>
    </row>
    <row r="931" spans="71:71" ht="15" customHeight="1" x14ac:dyDescent="0.25">
      <c r="BS931"/>
    </row>
    <row r="932" spans="71:71" ht="15" customHeight="1" x14ac:dyDescent="0.25">
      <c r="BS932"/>
    </row>
    <row r="933" spans="71:71" ht="15" customHeight="1" x14ac:dyDescent="0.25">
      <c r="BS933"/>
    </row>
    <row r="934" spans="71:71" ht="15" customHeight="1" x14ac:dyDescent="0.25">
      <c r="BS934"/>
    </row>
    <row r="935" spans="71:71" ht="15" customHeight="1" x14ac:dyDescent="0.25">
      <c r="BS935"/>
    </row>
    <row r="936" spans="71:71" ht="15" customHeight="1" x14ac:dyDescent="0.25">
      <c r="BS936"/>
    </row>
    <row r="937" spans="71:71" ht="15" customHeight="1" x14ac:dyDescent="0.25">
      <c r="BS937"/>
    </row>
    <row r="938" spans="71:71" ht="15" customHeight="1" x14ac:dyDescent="0.25">
      <c r="BS938"/>
    </row>
    <row r="939" spans="71:71" ht="15" customHeight="1" x14ac:dyDescent="0.25">
      <c r="BS939"/>
    </row>
    <row r="940" spans="71:71" ht="15" customHeight="1" x14ac:dyDescent="0.25">
      <c r="BS940"/>
    </row>
    <row r="941" spans="71:71" ht="15" customHeight="1" x14ac:dyDescent="0.25">
      <c r="BS941"/>
    </row>
    <row r="942" spans="71:71" ht="15" customHeight="1" x14ac:dyDescent="0.25">
      <c r="BS942"/>
    </row>
    <row r="943" spans="71:71" ht="15" customHeight="1" x14ac:dyDescent="0.25">
      <c r="BS943"/>
    </row>
    <row r="944" spans="71:71" ht="15" customHeight="1" x14ac:dyDescent="0.25">
      <c r="BS944"/>
    </row>
    <row r="945" spans="71:71" ht="15" customHeight="1" x14ac:dyDescent="0.25">
      <c r="BS945"/>
    </row>
    <row r="946" spans="71:71" ht="15" customHeight="1" x14ac:dyDescent="0.25">
      <c r="BS946"/>
    </row>
    <row r="947" spans="71:71" ht="15" customHeight="1" x14ac:dyDescent="0.25">
      <c r="BS947"/>
    </row>
    <row r="948" spans="71:71" ht="15" customHeight="1" x14ac:dyDescent="0.25">
      <c r="BS948"/>
    </row>
    <row r="949" spans="71:71" ht="15" customHeight="1" x14ac:dyDescent="0.25">
      <c r="BS949"/>
    </row>
    <row r="950" spans="71:71" ht="15" customHeight="1" x14ac:dyDescent="0.25">
      <c r="BS950"/>
    </row>
    <row r="951" spans="71:71" ht="15" customHeight="1" x14ac:dyDescent="0.25">
      <c r="BS951"/>
    </row>
    <row r="952" spans="71:71" ht="15" customHeight="1" x14ac:dyDescent="0.25">
      <c r="BS952"/>
    </row>
    <row r="953" spans="71:71" ht="15" customHeight="1" x14ac:dyDescent="0.25">
      <c r="BS953"/>
    </row>
    <row r="954" spans="71:71" ht="15" customHeight="1" x14ac:dyDescent="0.25">
      <c r="BS954"/>
    </row>
    <row r="955" spans="71:71" ht="15" customHeight="1" x14ac:dyDescent="0.25">
      <c r="BS955"/>
    </row>
    <row r="956" spans="71:71" ht="15" customHeight="1" x14ac:dyDescent="0.25">
      <c r="BS956"/>
    </row>
    <row r="957" spans="71:71" ht="15" customHeight="1" x14ac:dyDescent="0.25">
      <c r="BS957"/>
    </row>
    <row r="958" spans="71:71" ht="15" customHeight="1" x14ac:dyDescent="0.25">
      <c r="BS958"/>
    </row>
    <row r="959" spans="71:71" ht="15" customHeight="1" x14ac:dyDescent="0.25">
      <c r="BS959"/>
    </row>
    <row r="960" spans="71:71" ht="15" customHeight="1" x14ac:dyDescent="0.25">
      <c r="BS960"/>
    </row>
    <row r="961" spans="71:71" ht="15" customHeight="1" x14ac:dyDescent="0.25">
      <c r="BS961"/>
    </row>
    <row r="962" spans="71:71" ht="15" customHeight="1" x14ac:dyDescent="0.25">
      <c r="BS962"/>
    </row>
    <row r="963" spans="71:71" ht="15" customHeight="1" x14ac:dyDescent="0.25">
      <c r="BS963"/>
    </row>
    <row r="964" spans="71:71" ht="15" customHeight="1" x14ac:dyDescent="0.25">
      <c r="BS964"/>
    </row>
    <row r="965" spans="71:71" ht="15" customHeight="1" x14ac:dyDescent="0.25">
      <c r="BS965"/>
    </row>
    <row r="966" spans="71:71" ht="15" customHeight="1" x14ac:dyDescent="0.25">
      <c r="BS966"/>
    </row>
    <row r="967" spans="71:71" ht="15" customHeight="1" x14ac:dyDescent="0.25">
      <c r="BS967"/>
    </row>
    <row r="968" spans="71:71" ht="15" customHeight="1" x14ac:dyDescent="0.25">
      <c r="BS968"/>
    </row>
    <row r="969" spans="71:71" ht="15" customHeight="1" x14ac:dyDescent="0.25">
      <c r="BS969"/>
    </row>
    <row r="970" spans="71:71" ht="15" customHeight="1" x14ac:dyDescent="0.25">
      <c r="BS970"/>
    </row>
    <row r="971" spans="71:71" ht="15" customHeight="1" x14ac:dyDescent="0.25">
      <c r="BS971"/>
    </row>
    <row r="972" spans="71:71" ht="15" customHeight="1" x14ac:dyDescent="0.25">
      <c r="BS972"/>
    </row>
    <row r="973" spans="71:71" ht="15" customHeight="1" x14ac:dyDescent="0.25">
      <c r="BS973"/>
    </row>
    <row r="974" spans="71:71" ht="15" customHeight="1" x14ac:dyDescent="0.25">
      <c r="BS974"/>
    </row>
    <row r="975" spans="71:71" ht="15" customHeight="1" x14ac:dyDescent="0.25">
      <c r="BS975"/>
    </row>
    <row r="976" spans="71:71" ht="15" customHeight="1" x14ac:dyDescent="0.25">
      <c r="BS976"/>
    </row>
    <row r="977" spans="71:71" ht="15" customHeight="1" x14ac:dyDescent="0.25">
      <c r="BS977"/>
    </row>
    <row r="978" spans="71:71" ht="15" customHeight="1" x14ac:dyDescent="0.25">
      <c r="BS978"/>
    </row>
    <row r="979" spans="71:71" ht="15" customHeight="1" x14ac:dyDescent="0.25">
      <c r="BS979"/>
    </row>
    <row r="980" spans="71:71" ht="15" customHeight="1" x14ac:dyDescent="0.25">
      <c r="BS980"/>
    </row>
    <row r="981" spans="71:71" ht="15" customHeight="1" x14ac:dyDescent="0.25">
      <c r="BS981"/>
    </row>
    <row r="982" spans="71:71" ht="15" customHeight="1" x14ac:dyDescent="0.25">
      <c r="BS982"/>
    </row>
    <row r="983" spans="71:71" ht="15" customHeight="1" x14ac:dyDescent="0.25">
      <c r="BS983"/>
    </row>
    <row r="984" spans="71:71" ht="15" customHeight="1" x14ac:dyDescent="0.25">
      <c r="BS984"/>
    </row>
    <row r="985" spans="71:71" ht="15" customHeight="1" x14ac:dyDescent="0.25">
      <c r="BS985"/>
    </row>
    <row r="986" spans="71:71" ht="15" customHeight="1" x14ac:dyDescent="0.25">
      <c r="BS986"/>
    </row>
    <row r="987" spans="71:71" ht="15" customHeight="1" x14ac:dyDescent="0.25">
      <c r="BS987"/>
    </row>
    <row r="988" spans="71:71" ht="15" customHeight="1" x14ac:dyDescent="0.25">
      <c r="BS988"/>
    </row>
    <row r="989" spans="71:71" ht="15" customHeight="1" x14ac:dyDescent="0.25">
      <c r="BS989"/>
    </row>
    <row r="990" spans="71:71" ht="15" customHeight="1" x14ac:dyDescent="0.25">
      <c r="BS990"/>
    </row>
    <row r="991" spans="71:71" ht="15" customHeight="1" x14ac:dyDescent="0.25">
      <c r="BS991"/>
    </row>
    <row r="992" spans="71:71" ht="15" customHeight="1" x14ac:dyDescent="0.25">
      <c r="BS992"/>
    </row>
    <row r="993" spans="71:71" ht="15" customHeight="1" x14ac:dyDescent="0.25">
      <c r="BS993"/>
    </row>
    <row r="994" spans="71:71" ht="15" customHeight="1" x14ac:dyDescent="0.25">
      <c r="BS994"/>
    </row>
    <row r="995" spans="71:71" ht="15" customHeight="1" x14ac:dyDescent="0.25">
      <c r="BS995"/>
    </row>
    <row r="996" spans="71:71" ht="15" customHeight="1" x14ac:dyDescent="0.25">
      <c r="BS996"/>
    </row>
    <row r="997" spans="71:71" ht="15" customHeight="1" x14ac:dyDescent="0.25">
      <c r="BS997"/>
    </row>
    <row r="998" spans="71:71" ht="15" customHeight="1" x14ac:dyDescent="0.25">
      <c r="BS998"/>
    </row>
    <row r="999" spans="71:71" ht="15" customHeight="1" x14ac:dyDescent="0.25">
      <c r="BS999"/>
    </row>
    <row r="1000" spans="71:71" ht="15" customHeight="1" x14ac:dyDescent="0.25">
      <c r="BS1000"/>
    </row>
    <row r="1001" spans="71:71" ht="15" customHeight="1" x14ac:dyDescent="0.25">
      <c r="BS1001"/>
    </row>
    <row r="1002" spans="71:71" ht="15" customHeight="1" x14ac:dyDescent="0.25">
      <c r="BS1002"/>
    </row>
    <row r="1003" spans="71:71" ht="15" customHeight="1" x14ac:dyDescent="0.25">
      <c r="BS1003"/>
    </row>
    <row r="1004" spans="71:71" ht="15" customHeight="1" x14ac:dyDescent="0.25">
      <c r="BS1004"/>
    </row>
    <row r="1005" spans="71:71" ht="15" customHeight="1" x14ac:dyDescent="0.25">
      <c r="BS1005"/>
    </row>
    <row r="1006" spans="71:71" ht="15" customHeight="1" x14ac:dyDescent="0.25">
      <c r="BS1006"/>
    </row>
    <row r="1007" spans="71:71" ht="15" customHeight="1" x14ac:dyDescent="0.25">
      <c r="BS1007"/>
    </row>
    <row r="1008" spans="71:71" ht="15" customHeight="1" x14ac:dyDescent="0.25">
      <c r="BS1008"/>
    </row>
    <row r="1009" spans="71:71" ht="15" customHeight="1" x14ac:dyDescent="0.25">
      <c r="BS1009"/>
    </row>
    <row r="1010" spans="71:71" ht="15" customHeight="1" x14ac:dyDescent="0.25">
      <c r="BS1010"/>
    </row>
    <row r="1011" spans="71:71" ht="15" customHeight="1" x14ac:dyDescent="0.25">
      <c r="BS1011"/>
    </row>
    <row r="1012" spans="71:71" ht="15" customHeight="1" x14ac:dyDescent="0.25">
      <c r="BS1012"/>
    </row>
    <row r="1013" spans="71:71" ht="15" customHeight="1" x14ac:dyDescent="0.25">
      <c r="BS1013"/>
    </row>
    <row r="1014" spans="71:71" ht="15" customHeight="1" x14ac:dyDescent="0.25">
      <c r="BS1014"/>
    </row>
    <row r="1015" spans="71:71" ht="15" customHeight="1" x14ac:dyDescent="0.25">
      <c r="BS1015"/>
    </row>
    <row r="1016" spans="71:71" ht="15" customHeight="1" x14ac:dyDescent="0.25">
      <c r="BS1016"/>
    </row>
    <row r="1017" spans="71:71" ht="15" customHeight="1" x14ac:dyDescent="0.25">
      <c r="BS1017"/>
    </row>
    <row r="1018" spans="71:71" ht="15" customHeight="1" x14ac:dyDescent="0.25">
      <c r="BS1018"/>
    </row>
    <row r="1019" spans="71:71" ht="15" customHeight="1" x14ac:dyDescent="0.25">
      <c r="BS1019"/>
    </row>
    <row r="1020" spans="71:71" ht="15" customHeight="1" x14ac:dyDescent="0.25">
      <c r="BS1020"/>
    </row>
    <row r="1021" spans="71:71" ht="15" customHeight="1" x14ac:dyDescent="0.25">
      <c r="BS1021"/>
    </row>
    <row r="1022" spans="71:71" ht="15" customHeight="1" x14ac:dyDescent="0.25">
      <c r="BS1022"/>
    </row>
    <row r="1023" spans="71:71" ht="15" customHeight="1" x14ac:dyDescent="0.25">
      <c r="BS1023"/>
    </row>
    <row r="1024" spans="71:71" ht="15" customHeight="1" x14ac:dyDescent="0.25">
      <c r="BS1024"/>
    </row>
    <row r="1025" spans="71:71" ht="15" customHeight="1" x14ac:dyDescent="0.25">
      <c r="BS1025"/>
    </row>
    <row r="1026" spans="71:71" ht="15" customHeight="1" x14ac:dyDescent="0.25">
      <c r="BS1026"/>
    </row>
    <row r="1027" spans="71:71" ht="15" customHeight="1" x14ac:dyDescent="0.25">
      <c r="BS1027"/>
    </row>
    <row r="1028" spans="71:71" ht="15" customHeight="1" x14ac:dyDescent="0.25">
      <c r="BS1028"/>
    </row>
    <row r="1029" spans="71:71" ht="15" customHeight="1" x14ac:dyDescent="0.25">
      <c r="BS1029"/>
    </row>
    <row r="1030" spans="71:71" ht="15" customHeight="1" x14ac:dyDescent="0.25">
      <c r="BS1030"/>
    </row>
    <row r="1031" spans="71:71" ht="15" customHeight="1" x14ac:dyDescent="0.25">
      <c r="BS1031"/>
    </row>
    <row r="1032" spans="71:71" ht="15" customHeight="1" x14ac:dyDescent="0.25">
      <c r="BS1032"/>
    </row>
    <row r="1033" spans="71:71" ht="15" customHeight="1" x14ac:dyDescent="0.25">
      <c r="BS1033"/>
    </row>
    <row r="1034" spans="71:71" ht="15" customHeight="1" x14ac:dyDescent="0.25">
      <c r="BS1034"/>
    </row>
    <row r="1035" spans="71:71" ht="15" customHeight="1" x14ac:dyDescent="0.25">
      <c r="BS1035"/>
    </row>
    <row r="1036" spans="71:71" ht="15" customHeight="1" x14ac:dyDescent="0.25">
      <c r="BS1036"/>
    </row>
    <row r="1037" spans="71:71" ht="15" customHeight="1" x14ac:dyDescent="0.25">
      <c r="BS1037"/>
    </row>
    <row r="1038" spans="71:71" ht="15" customHeight="1" x14ac:dyDescent="0.25">
      <c r="BS1038"/>
    </row>
    <row r="1039" spans="71:71" ht="15" customHeight="1" x14ac:dyDescent="0.25">
      <c r="BS1039"/>
    </row>
    <row r="1040" spans="71:71" ht="15" customHeight="1" x14ac:dyDescent="0.25">
      <c r="BS1040"/>
    </row>
    <row r="1041" spans="71:71" ht="15" customHeight="1" x14ac:dyDescent="0.25">
      <c r="BS1041"/>
    </row>
    <row r="1042" spans="71:71" ht="15" customHeight="1" x14ac:dyDescent="0.25">
      <c r="BS1042"/>
    </row>
    <row r="1043" spans="71:71" ht="15" customHeight="1" x14ac:dyDescent="0.25">
      <c r="BS1043"/>
    </row>
    <row r="1044" spans="71:71" ht="15" customHeight="1" x14ac:dyDescent="0.25">
      <c r="BS1044"/>
    </row>
    <row r="1045" spans="71:71" ht="15" customHeight="1" x14ac:dyDescent="0.25">
      <c r="BS1045"/>
    </row>
    <row r="1046" spans="71:71" ht="15" customHeight="1" x14ac:dyDescent="0.25">
      <c r="BS1046"/>
    </row>
    <row r="1047" spans="71:71" ht="15" customHeight="1" x14ac:dyDescent="0.25">
      <c r="BS1047"/>
    </row>
    <row r="1048" spans="71:71" ht="15" customHeight="1" x14ac:dyDescent="0.25">
      <c r="BS1048"/>
    </row>
    <row r="1049" spans="71:71" ht="15" customHeight="1" x14ac:dyDescent="0.25">
      <c r="BS1049"/>
    </row>
    <row r="1050" spans="71:71" ht="15" customHeight="1" x14ac:dyDescent="0.25">
      <c r="BS1050"/>
    </row>
    <row r="1051" spans="71:71" ht="15" customHeight="1" x14ac:dyDescent="0.25">
      <c r="BS1051"/>
    </row>
    <row r="1052" spans="71:71" ht="15" customHeight="1" x14ac:dyDescent="0.25">
      <c r="BS1052"/>
    </row>
    <row r="1053" spans="71:71" ht="15" customHeight="1" x14ac:dyDescent="0.25">
      <c r="BS1053"/>
    </row>
    <row r="1054" spans="71:71" ht="15" customHeight="1" x14ac:dyDescent="0.25">
      <c r="BS1054"/>
    </row>
    <row r="1055" spans="71:71" ht="15" customHeight="1" x14ac:dyDescent="0.25">
      <c r="BS1055"/>
    </row>
    <row r="1056" spans="71:71" ht="15" customHeight="1" x14ac:dyDescent="0.25">
      <c r="BS1056"/>
    </row>
    <row r="1057" spans="71:71" ht="15" customHeight="1" x14ac:dyDescent="0.25">
      <c r="BS1057"/>
    </row>
    <row r="1058" spans="71:71" ht="15" customHeight="1" x14ac:dyDescent="0.25">
      <c r="BS1058"/>
    </row>
    <row r="1059" spans="71:71" ht="15" customHeight="1" x14ac:dyDescent="0.25">
      <c r="BS1059"/>
    </row>
    <row r="1060" spans="71:71" ht="15" customHeight="1" x14ac:dyDescent="0.25">
      <c r="BS1060"/>
    </row>
    <row r="1061" spans="71:71" ht="15" customHeight="1" x14ac:dyDescent="0.25">
      <c r="BS1061"/>
    </row>
    <row r="1062" spans="71:71" ht="15" customHeight="1" x14ac:dyDescent="0.25">
      <c r="BS1062"/>
    </row>
    <row r="1063" spans="71:71" ht="15" customHeight="1" x14ac:dyDescent="0.25">
      <c r="BS1063"/>
    </row>
    <row r="1064" spans="71:71" ht="15" customHeight="1" x14ac:dyDescent="0.25">
      <c r="BS1064"/>
    </row>
    <row r="1065" spans="71:71" ht="15" customHeight="1" x14ac:dyDescent="0.25">
      <c r="BS1065"/>
    </row>
    <row r="1066" spans="71:71" ht="15" customHeight="1" x14ac:dyDescent="0.25">
      <c r="BS1066"/>
    </row>
    <row r="1067" spans="71:71" ht="15" customHeight="1" x14ac:dyDescent="0.25">
      <c r="BS1067"/>
    </row>
    <row r="1068" spans="71:71" ht="15" customHeight="1" x14ac:dyDescent="0.25">
      <c r="BS1068"/>
    </row>
    <row r="1069" spans="71:71" ht="15" customHeight="1" x14ac:dyDescent="0.25">
      <c r="BS1069"/>
    </row>
    <row r="1070" spans="71:71" ht="15" customHeight="1" x14ac:dyDescent="0.25">
      <c r="BS1070"/>
    </row>
    <row r="1071" spans="71:71" ht="15" customHeight="1" x14ac:dyDescent="0.25">
      <c r="BS1071"/>
    </row>
    <row r="1072" spans="71:71" ht="15" customHeight="1" x14ac:dyDescent="0.25">
      <c r="BS1072"/>
    </row>
    <row r="1073" spans="71:71" ht="15" customHeight="1" x14ac:dyDescent="0.25">
      <c r="BS1073"/>
    </row>
    <row r="1074" spans="71:71" ht="15" customHeight="1" x14ac:dyDescent="0.25">
      <c r="BS1074"/>
    </row>
    <row r="1075" spans="71:71" ht="15" customHeight="1" x14ac:dyDescent="0.25">
      <c r="BS1075"/>
    </row>
    <row r="1076" spans="71:71" ht="15" customHeight="1" x14ac:dyDescent="0.25">
      <c r="BS1076"/>
    </row>
    <row r="1077" spans="71:71" ht="15" customHeight="1" x14ac:dyDescent="0.25">
      <c r="BS1077"/>
    </row>
    <row r="1078" spans="71:71" ht="15" customHeight="1" x14ac:dyDescent="0.25">
      <c r="BS1078"/>
    </row>
    <row r="1079" spans="71:71" ht="15" customHeight="1" x14ac:dyDescent="0.25">
      <c r="BS1079"/>
    </row>
    <row r="1080" spans="71:71" ht="15" customHeight="1" x14ac:dyDescent="0.25">
      <c r="BS1080"/>
    </row>
    <row r="1081" spans="71:71" ht="15" customHeight="1" x14ac:dyDescent="0.25">
      <c r="BS1081"/>
    </row>
    <row r="1082" spans="71:71" ht="15" customHeight="1" x14ac:dyDescent="0.25">
      <c r="BS1082"/>
    </row>
    <row r="1083" spans="71:71" ht="15" customHeight="1" x14ac:dyDescent="0.25">
      <c r="BS1083"/>
    </row>
    <row r="1084" spans="71:71" ht="15" customHeight="1" x14ac:dyDescent="0.25">
      <c r="BS1084"/>
    </row>
    <row r="1085" spans="71:71" ht="15" customHeight="1" x14ac:dyDescent="0.25">
      <c r="BS1085"/>
    </row>
    <row r="1086" spans="71:71" ht="15" customHeight="1" x14ac:dyDescent="0.25">
      <c r="BS1086"/>
    </row>
    <row r="1087" spans="71:71" ht="15" customHeight="1" x14ac:dyDescent="0.25">
      <c r="BS1087"/>
    </row>
    <row r="1088" spans="71:71" ht="15" customHeight="1" x14ac:dyDescent="0.25">
      <c r="BS1088"/>
    </row>
    <row r="1089" spans="71:71" ht="15" customHeight="1" x14ac:dyDescent="0.25">
      <c r="BS1089"/>
    </row>
    <row r="1090" spans="71:71" ht="15" customHeight="1" x14ac:dyDescent="0.25">
      <c r="BS1090"/>
    </row>
    <row r="1091" spans="71:71" ht="15" customHeight="1" x14ac:dyDescent="0.25">
      <c r="BS1091"/>
    </row>
    <row r="1092" spans="71:71" ht="15" customHeight="1" x14ac:dyDescent="0.25">
      <c r="BS1092"/>
    </row>
    <row r="1093" spans="71:71" ht="15" customHeight="1" x14ac:dyDescent="0.25">
      <c r="BS1093"/>
    </row>
    <row r="1094" spans="71:71" ht="15" customHeight="1" x14ac:dyDescent="0.25">
      <c r="BS1094"/>
    </row>
    <row r="1095" spans="71:71" ht="15" customHeight="1" x14ac:dyDescent="0.25">
      <c r="BS1095"/>
    </row>
    <row r="1096" spans="71:71" ht="15" customHeight="1" x14ac:dyDescent="0.25">
      <c r="BS1096"/>
    </row>
    <row r="1097" spans="71:71" ht="15" customHeight="1" x14ac:dyDescent="0.25">
      <c r="BS1097"/>
    </row>
    <row r="1098" spans="71:71" ht="15" customHeight="1" x14ac:dyDescent="0.25">
      <c r="BS1098"/>
    </row>
    <row r="1099" spans="71:71" ht="15" customHeight="1" x14ac:dyDescent="0.25">
      <c r="BS1099"/>
    </row>
    <row r="1100" spans="71:71" ht="15" customHeight="1" x14ac:dyDescent="0.25">
      <c r="BS1100"/>
    </row>
    <row r="1101" spans="71:71" ht="15" customHeight="1" x14ac:dyDescent="0.25">
      <c r="BS1101"/>
    </row>
    <row r="1102" spans="71:71" ht="15" customHeight="1" x14ac:dyDescent="0.25">
      <c r="BS1102"/>
    </row>
    <row r="1103" spans="71:71" ht="15" customHeight="1" x14ac:dyDescent="0.25">
      <c r="BS1103"/>
    </row>
    <row r="1104" spans="71:71" ht="15" customHeight="1" x14ac:dyDescent="0.25">
      <c r="BS1104"/>
    </row>
    <row r="1105" spans="71:71" ht="15" customHeight="1" x14ac:dyDescent="0.25">
      <c r="BS1105"/>
    </row>
    <row r="1106" spans="71:71" ht="15" customHeight="1" x14ac:dyDescent="0.25">
      <c r="BS1106"/>
    </row>
    <row r="1107" spans="71:71" ht="15" customHeight="1" x14ac:dyDescent="0.25">
      <c r="BS1107"/>
    </row>
    <row r="1108" spans="71:71" ht="15" customHeight="1" x14ac:dyDescent="0.25">
      <c r="BS1108"/>
    </row>
    <row r="1109" spans="71:71" ht="15" customHeight="1" x14ac:dyDescent="0.25">
      <c r="BS1109"/>
    </row>
    <row r="1110" spans="71:71" ht="15" customHeight="1" x14ac:dyDescent="0.25">
      <c r="BS1110"/>
    </row>
    <row r="1111" spans="71:71" ht="15" customHeight="1" x14ac:dyDescent="0.25">
      <c r="BS1111"/>
    </row>
    <row r="1112" spans="71:71" ht="15" customHeight="1" x14ac:dyDescent="0.25">
      <c r="BS1112"/>
    </row>
    <row r="1113" spans="71:71" ht="15" customHeight="1" x14ac:dyDescent="0.25">
      <c r="BS1113"/>
    </row>
    <row r="1114" spans="71:71" ht="15" customHeight="1" x14ac:dyDescent="0.25">
      <c r="BS1114"/>
    </row>
    <row r="1115" spans="71:71" ht="15" customHeight="1" x14ac:dyDescent="0.25">
      <c r="BS1115"/>
    </row>
    <row r="1116" spans="71:71" ht="15" customHeight="1" x14ac:dyDescent="0.25">
      <c r="BS1116"/>
    </row>
    <row r="1117" spans="71:71" ht="15" customHeight="1" x14ac:dyDescent="0.25">
      <c r="BS1117"/>
    </row>
    <row r="1118" spans="71:71" ht="15" customHeight="1" x14ac:dyDescent="0.25">
      <c r="BS1118"/>
    </row>
    <row r="1119" spans="71:71" ht="15" customHeight="1" x14ac:dyDescent="0.25">
      <c r="BS1119"/>
    </row>
    <row r="1120" spans="71:71" ht="15" customHeight="1" x14ac:dyDescent="0.25">
      <c r="BS1120"/>
    </row>
    <row r="1121" spans="71:71" ht="15" customHeight="1" x14ac:dyDescent="0.25">
      <c r="BS1121"/>
    </row>
    <row r="1122" spans="71:71" ht="15" customHeight="1" x14ac:dyDescent="0.25">
      <c r="BS1122"/>
    </row>
    <row r="1123" spans="71:71" ht="15" customHeight="1" x14ac:dyDescent="0.25">
      <c r="BS1123"/>
    </row>
    <row r="1124" spans="71:71" ht="15" customHeight="1" x14ac:dyDescent="0.25">
      <c r="BS1124"/>
    </row>
    <row r="1125" spans="71:71" ht="15" customHeight="1" x14ac:dyDescent="0.25">
      <c r="BS1125"/>
    </row>
    <row r="1126" spans="71:71" ht="15" customHeight="1" x14ac:dyDescent="0.25">
      <c r="BS1126"/>
    </row>
    <row r="1127" spans="71:71" ht="15" customHeight="1" x14ac:dyDescent="0.25">
      <c r="BS1127"/>
    </row>
    <row r="1128" spans="71:71" ht="15" customHeight="1" x14ac:dyDescent="0.25">
      <c r="BS1128"/>
    </row>
    <row r="1129" spans="71:71" ht="15" customHeight="1" x14ac:dyDescent="0.25">
      <c r="BS1129"/>
    </row>
    <row r="1130" spans="71:71" ht="15" customHeight="1" x14ac:dyDescent="0.25">
      <c r="BS1130"/>
    </row>
    <row r="1131" spans="71:71" ht="15" customHeight="1" x14ac:dyDescent="0.25">
      <c r="BS1131"/>
    </row>
    <row r="1132" spans="71:71" ht="15" customHeight="1" x14ac:dyDescent="0.25">
      <c r="BS1132"/>
    </row>
    <row r="1133" spans="71:71" ht="15" customHeight="1" x14ac:dyDescent="0.25">
      <c r="BS1133"/>
    </row>
    <row r="1134" spans="71:71" ht="15" customHeight="1" x14ac:dyDescent="0.25">
      <c r="BS1134"/>
    </row>
    <row r="1135" spans="71:71" ht="15" customHeight="1" x14ac:dyDescent="0.25">
      <c r="BS1135"/>
    </row>
    <row r="1136" spans="71:71" ht="15" customHeight="1" x14ac:dyDescent="0.25">
      <c r="BS1136"/>
    </row>
    <row r="1137" spans="71:71" ht="15" customHeight="1" x14ac:dyDescent="0.25">
      <c r="BS1137"/>
    </row>
    <row r="1138" spans="71:71" ht="15" customHeight="1" x14ac:dyDescent="0.25">
      <c r="BS1138"/>
    </row>
    <row r="1139" spans="71:71" ht="15" customHeight="1" x14ac:dyDescent="0.25">
      <c r="BS1139"/>
    </row>
    <row r="1140" spans="71:71" ht="15" customHeight="1" x14ac:dyDescent="0.25">
      <c r="BS1140"/>
    </row>
    <row r="1141" spans="71:71" ht="15" customHeight="1" x14ac:dyDescent="0.25">
      <c r="BS1141"/>
    </row>
    <row r="1142" spans="71:71" ht="15" customHeight="1" x14ac:dyDescent="0.25">
      <c r="BS1142"/>
    </row>
    <row r="1143" spans="71:71" ht="15" customHeight="1" x14ac:dyDescent="0.25">
      <c r="BS1143"/>
    </row>
    <row r="1144" spans="71:71" ht="15" customHeight="1" x14ac:dyDescent="0.25">
      <c r="BS1144"/>
    </row>
    <row r="1145" spans="71:71" ht="15" customHeight="1" x14ac:dyDescent="0.25">
      <c r="BS1145"/>
    </row>
    <row r="1146" spans="71:71" ht="15" customHeight="1" x14ac:dyDescent="0.25">
      <c r="BS1146"/>
    </row>
    <row r="1147" spans="71:71" ht="15" customHeight="1" x14ac:dyDescent="0.25">
      <c r="BS1147"/>
    </row>
    <row r="1148" spans="71:71" ht="15" customHeight="1" x14ac:dyDescent="0.25">
      <c r="BS1148"/>
    </row>
    <row r="1149" spans="71:71" ht="15" customHeight="1" x14ac:dyDescent="0.25">
      <c r="BS1149"/>
    </row>
    <row r="1150" spans="71:71" ht="15" customHeight="1" x14ac:dyDescent="0.25">
      <c r="BS1150"/>
    </row>
    <row r="1151" spans="71:71" ht="15" customHeight="1" x14ac:dyDescent="0.25">
      <c r="BS1151"/>
    </row>
    <row r="1152" spans="71:71" ht="15" customHeight="1" x14ac:dyDescent="0.25">
      <c r="BS1152"/>
    </row>
    <row r="1153" spans="71:71" ht="15" customHeight="1" x14ac:dyDescent="0.25">
      <c r="BS1153"/>
    </row>
    <row r="1154" spans="71:71" ht="15" customHeight="1" x14ac:dyDescent="0.25">
      <c r="BS1154"/>
    </row>
    <row r="1155" spans="71:71" ht="15" customHeight="1" x14ac:dyDescent="0.25">
      <c r="BS1155"/>
    </row>
    <row r="1156" spans="71:71" ht="15" customHeight="1" x14ac:dyDescent="0.25">
      <c r="BS1156"/>
    </row>
    <row r="1157" spans="71:71" ht="15" customHeight="1" x14ac:dyDescent="0.25">
      <c r="BS1157"/>
    </row>
    <row r="1158" spans="71:71" ht="15" customHeight="1" x14ac:dyDescent="0.25">
      <c r="BS1158"/>
    </row>
    <row r="1159" spans="71:71" ht="15" customHeight="1" x14ac:dyDescent="0.25">
      <c r="BS1159"/>
    </row>
    <row r="1160" spans="71:71" ht="15" customHeight="1" x14ac:dyDescent="0.25">
      <c r="BS1160"/>
    </row>
    <row r="1161" spans="71:71" ht="15" customHeight="1" x14ac:dyDescent="0.25">
      <c r="BS1161"/>
    </row>
    <row r="1162" spans="71:71" ht="15" customHeight="1" x14ac:dyDescent="0.25">
      <c r="BS1162"/>
    </row>
    <row r="1163" spans="71:71" ht="15" customHeight="1" x14ac:dyDescent="0.25">
      <c r="BS1163"/>
    </row>
    <row r="1164" spans="71:71" ht="15" customHeight="1" x14ac:dyDescent="0.25">
      <c r="BS1164"/>
    </row>
    <row r="1165" spans="71:71" ht="15" customHeight="1" x14ac:dyDescent="0.25">
      <c r="BS1165"/>
    </row>
    <row r="1166" spans="71:71" ht="15" customHeight="1" x14ac:dyDescent="0.25">
      <c r="BS1166"/>
    </row>
    <row r="1167" spans="71:71" ht="15" customHeight="1" x14ac:dyDescent="0.25">
      <c r="BS1167"/>
    </row>
    <row r="1168" spans="71:71" ht="15" customHeight="1" x14ac:dyDescent="0.25">
      <c r="BS1168"/>
    </row>
    <row r="1169" spans="71:71" ht="15" customHeight="1" x14ac:dyDescent="0.25">
      <c r="BS1169"/>
    </row>
    <row r="1170" spans="71:71" ht="15" customHeight="1" x14ac:dyDescent="0.25">
      <c r="BS1170"/>
    </row>
    <row r="1171" spans="71:71" ht="15" customHeight="1" x14ac:dyDescent="0.25">
      <c r="BS1171"/>
    </row>
    <row r="1172" spans="71:71" ht="15" customHeight="1" x14ac:dyDescent="0.25">
      <c r="BS1172"/>
    </row>
    <row r="1173" spans="71:71" ht="15" customHeight="1" x14ac:dyDescent="0.25">
      <c r="BS1173"/>
    </row>
    <row r="1174" spans="71:71" ht="15" customHeight="1" x14ac:dyDescent="0.25">
      <c r="BS1174"/>
    </row>
    <row r="1175" spans="71:71" ht="15" customHeight="1" x14ac:dyDescent="0.25">
      <c r="BS1175"/>
    </row>
    <row r="1176" spans="71:71" ht="15" customHeight="1" x14ac:dyDescent="0.25">
      <c r="BS1176"/>
    </row>
    <row r="1177" spans="71:71" ht="15" customHeight="1" x14ac:dyDescent="0.25">
      <c r="BS1177"/>
    </row>
    <row r="1178" spans="71:71" ht="15" customHeight="1" x14ac:dyDescent="0.25">
      <c r="BS1178"/>
    </row>
    <row r="1179" spans="71:71" ht="15" customHeight="1" x14ac:dyDescent="0.25">
      <c r="BS1179"/>
    </row>
    <row r="1180" spans="71:71" ht="15" customHeight="1" x14ac:dyDescent="0.25">
      <c r="BS1180"/>
    </row>
    <row r="1181" spans="71:71" ht="15" customHeight="1" x14ac:dyDescent="0.25">
      <c r="BS1181"/>
    </row>
    <row r="1182" spans="71:71" ht="15" customHeight="1" x14ac:dyDescent="0.25">
      <c r="BS1182"/>
    </row>
    <row r="1183" spans="71:71" ht="15" customHeight="1" x14ac:dyDescent="0.25">
      <c r="BS1183"/>
    </row>
    <row r="1184" spans="71:71" ht="15" customHeight="1" x14ac:dyDescent="0.25">
      <c r="BS1184"/>
    </row>
    <row r="1185" spans="71:71" ht="15" customHeight="1" x14ac:dyDescent="0.25">
      <c r="BS1185"/>
    </row>
    <row r="1186" spans="71:71" ht="15" customHeight="1" x14ac:dyDescent="0.25">
      <c r="BS1186"/>
    </row>
    <row r="1187" spans="71:71" ht="15" customHeight="1" x14ac:dyDescent="0.25">
      <c r="BS1187"/>
    </row>
    <row r="1188" spans="71:71" ht="15" customHeight="1" x14ac:dyDescent="0.25">
      <c r="BS1188"/>
    </row>
    <row r="1189" spans="71:71" ht="15" customHeight="1" x14ac:dyDescent="0.25">
      <c r="BS1189"/>
    </row>
    <row r="1190" spans="71:71" ht="15" customHeight="1" x14ac:dyDescent="0.25">
      <c r="BS1190"/>
    </row>
    <row r="1191" spans="71:71" ht="15" customHeight="1" x14ac:dyDescent="0.25">
      <c r="BS1191"/>
    </row>
    <row r="1192" spans="71:71" ht="15" customHeight="1" x14ac:dyDescent="0.25">
      <c r="BS1192"/>
    </row>
    <row r="1193" spans="71:71" ht="15" customHeight="1" x14ac:dyDescent="0.25">
      <c r="BS1193"/>
    </row>
    <row r="1194" spans="71:71" ht="15" customHeight="1" x14ac:dyDescent="0.25">
      <c r="BS1194"/>
    </row>
    <row r="1195" spans="71:71" ht="15" customHeight="1" x14ac:dyDescent="0.25">
      <c r="BS1195"/>
    </row>
    <row r="1196" spans="71:71" ht="15" customHeight="1" x14ac:dyDescent="0.25">
      <c r="BS1196"/>
    </row>
    <row r="1197" spans="71:71" ht="15" customHeight="1" x14ac:dyDescent="0.25">
      <c r="BS1197"/>
    </row>
    <row r="1198" spans="71:71" ht="15" customHeight="1" x14ac:dyDescent="0.25">
      <c r="BS1198"/>
    </row>
    <row r="1199" spans="71:71" ht="15" customHeight="1" x14ac:dyDescent="0.25">
      <c r="BS1199"/>
    </row>
    <row r="1200" spans="71:71" ht="15" customHeight="1" x14ac:dyDescent="0.25">
      <c r="BS1200"/>
    </row>
    <row r="1201" spans="71:71" ht="15" customHeight="1" x14ac:dyDescent="0.25">
      <c r="BS1201"/>
    </row>
    <row r="1202" spans="71:71" ht="15" customHeight="1" x14ac:dyDescent="0.25">
      <c r="BS1202"/>
    </row>
    <row r="1203" spans="71:71" ht="15" customHeight="1" x14ac:dyDescent="0.25">
      <c r="BS1203"/>
    </row>
    <row r="1204" spans="71:71" ht="15" customHeight="1" x14ac:dyDescent="0.25">
      <c r="BS1204"/>
    </row>
    <row r="1205" spans="71:71" ht="15" customHeight="1" x14ac:dyDescent="0.25">
      <c r="BS1205"/>
    </row>
    <row r="1206" spans="71:71" ht="15" customHeight="1" x14ac:dyDescent="0.25">
      <c r="BS1206"/>
    </row>
    <row r="1207" spans="71:71" ht="15" customHeight="1" x14ac:dyDescent="0.25">
      <c r="BS1207"/>
    </row>
    <row r="1208" spans="71:71" ht="15" customHeight="1" x14ac:dyDescent="0.25">
      <c r="BS1208"/>
    </row>
    <row r="1209" spans="71:71" ht="15" customHeight="1" x14ac:dyDescent="0.25">
      <c r="BS1209"/>
    </row>
    <row r="1210" spans="71:71" ht="15" customHeight="1" x14ac:dyDescent="0.25">
      <c r="BS1210"/>
    </row>
    <row r="1211" spans="71:71" ht="15" customHeight="1" x14ac:dyDescent="0.25">
      <c r="BS1211"/>
    </row>
    <row r="1212" spans="71:71" ht="15" customHeight="1" x14ac:dyDescent="0.25">
      <c r="BS1212"/>
    </row>
    <row r="1213" spans="71:71" ht="15" customHeight="1" x14ac:dyDescent="0.25">
      <c r="BS1213"/>
    </row>
    <row r="1214" spans="71:71" ht="15" customHeight="1" x14ac:dyDescent="0.25">
      <c r="BS1214"/>
    </row>
    <row r="1215" spans="71:71" ht="15" customHeight="1" x14ac:dyDescent="0.25">
      <c r="BS1215"/>
    </row>
    <row r="1216" spans="71:71" ht="15" customHeight="1" x14ac:dyDescent="0.25">
      <c r="BS1216"/>
    </row>
    <row r="1217" spans="71:71" ht="15" customHeight="1" x14ac:dyDescent="0.25">
      <c r="BS1217"/>
    </row>
    <row r="1218" spans="71:71" ht="15" customHeight="1" x14ac:dyDescent="0.25">
      <c r="BS1218"/>
    </row>
    <row r="1219" spans="71:71" ht="15" customHeight="1" x14ac:dyDescent="0.25">
      <c r="BS1219"/>
    </row>
    <row r="1220" spans="71:71" ht="15" customHeight="1" x14ac:dyDescent="0.25">
      <c r="BS1220"/>
    </row>
    <row r="1221" spans="71:71" ht="15" customHeight="1" x14ac:dyDescent="0.25">
      <c r="BS1221"/>
    </row>
    <row r="1222" spans="71:71" ht="15" customHeight="1" x14ac:dyDescent="0.25">
      <c r="BS1222"/>
    </row>
    <row r="1223" spans="71:71" ht="15" customHeight="1" x14ac:dyDescent="0.25">
      <c r="BS1223"/>
    </row>
    <row r="1224" spans="71:71" ht="15" customHeight="1" x14ac:dyDescent="0.25">
      <c r="BS1224"/>
    </row>
    <row r="1225" spans="71:71" ht="15" customHeight="1" x14ac:dyDescent="0.25">
      <c r="BS1225"/>
    </row>
    <row r="1226" spans="71:71" ht="15" customHeight="1" x14ac:dyDescent="0.25">
      <c r="BS1226"/>
    </row>
    <row r="1227" spans="71:71" ht="15" customHeight="1" x14ac:dyDescent="0.25">
      <c r="BS1227"/>
    </row>
    <row r="1228" spans="71:71" ht="15" customHeight="1" x14ac:dyDescent="0.25">
      <c r="BS1228"/>
    </row>
    <row r="1229" spans="71:71" ht="15" customHeight="1" x14ac:dyDescent="0.25">
      <c r="BS1229"/>
    </row>
    <row r="1230" spans="71:71" ht="15" customHeight="1" x14ac:dyDescent="0.25">
      <c r="BS1230"/>
    </row>
    <row r="1231" spans="71:71" ht="15" customHeight="1" x14ac:dyDescent="0.25">
      <c r="BS1231"/>
    </row>
    <row r="1232" spans="71:71" ht="15" customHeight="1" x14ac:dyDescent="0.25">
      <c r="BS1232"/>
    </row>
    <row r="1233" spans="71:71" ht="15" customHeight="1" x14ac:dyDescent="0.25">
      <c r="BS1233"/>
    </row>
    <row r="1234" spans="71:71" ht="15" customHeight="1" x14ac:dyDescent="0.25">
      <c r="BS1234"/>
    </row>
    <row r="1235" spans="71:71" ht="15" customHeight="1" x14ac:dyDescent="0.25">
      <c r="BS1235"/>
    </row>
    <row r="1236" spans="71:71" ht="15" customHeight="1" x14ac:dyDescent="0.25">
      <c r="BS1236"/>
    </row>
    <row r="1237" spans="71:71" ht="15" customHeight="1" x14ac:dyDescent="0.25">
      <c r="BS1237"/>
    </row>
    <row r="1238" spans="71:71" ht="15" customHeight="1" x14ac:dyDescent="0.25">
      <c r="BS1238"/>
    </row>
    <row r="1239" spans="71:71" ht="15" customHeight="1" x14ac:dyDescent="0.25">
      <c r="BS1239"/>
    </row>
  </sheetData>
  <sortState ref="BC8:BC97">
    <sortCondition ref="BC8:BC97"/>
  </sortState>
  <mergeCells count="14">
    <mergeCell ref="BE6:BK6"/>
    <mergeCell ref="BL6:BR6"/>
    <mergeCell ref="M1:P1"/>
    <mergeCell ref="AD1:AE1"/>
    <mergeCell ref="AF1:AG1"/>
    <mergeCell ref="AQ2:AU2"/>
    <mergeCell ref="Q1:S2"/>
    <mergeCell ref="T1:X2"/>
    <mergeCell ref="Z1:AC2"/>
    <mergeCell ref="AD2:AE2"/>
    <mergeCell ref="AF2:AG2"/>
    <mergeCell ref="AI1:AL2"/>
    <mergeCell ref="AM1:AO2"/>
    <mergeCell ref="AQ1:A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ayVsHuman">
                <anchor moveWithCells="1">
                  <from>
                    <xdr:col>1</xdr:col>
                    <xdr:colOff>28575</xdr:colOff>
                    <xdr:row>0</xdr:row>
                    <xdr:rowOff>76200</xdr:rowOff>
                  </from>
                  <to>
                    <xdr:col>4</xdr:col>
                    <xdr:colOff>133350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reset">
                <anchor moveWithCells="1">
                  <from>
                    <xdr:col>62</xdr:col>
                    <xdr:colOff>171450</xdr:colOff>
                    <xdr:row>0</xdr:row>
                    <xdr:rowOff>85725</xdr:rowOff>
                  </from>
                  <to>
                    <xdr:col>64</xdr:col>
                    <xdr:colOff>57150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playVsComputer">
                <anchor moveWithCells="1">
                  <from>
                    <xdr:col>5</xdr:col>
                    <xdr:colOff>57150</xdr:colOff>
                    <xdr:row>0</xdr:row>
                    <xdr:rowOff>76200</xdr:rowOff>
                  </from>
                  <to>
                    <xdr:col>8</xdr:col>
                    <xdr:colOff>95250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playAi1Step">
                <anchor moveWithCells="1">
                  <from>
                    <xdr:col>69</xdr:col>
                    <xdr:colOff>457200</xdr:colOff>
                    <xdr:row>1</xdr:row>
                    <xdr:rowOff>161925</xdr:rowOff>
                  </from>
                  <to>
                    <xdr:col>70</xdr:col>
                    <xdr:colOff>476250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playAi100Steps">
                <anchor moveWithCells="1">
                  <from>
                    <xdr:col>12</xdr:col>
                    <xdr:colOff>114300</xdr:colOff>
                    <xdr:row>0</xdr:row>
                    <xdr:rowOff>76200</xdr:rowOff>
                  </from>
                  <to>
                    <xdr:col>15</xdr:col>
                    <xdr:colOff>152400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evalOnly">
                <anchor moveWithCells="1">
                  <from>
                    <xdr:col>68</xdr:col>
                    <xdr:colOff>95250</xdr:colOff>
                    <xdr:row>1</xdr:row>
                    <xdr:rowOff>161925</xdr:rowOff>
                  </from>
                  <to>
                    <xdr:col>69</xdr:col>
                    <xdr:colOff>114300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loadHistroy">
                <anchor moveWithCells="1">
                  <from>
                    <xdr:col>70</xdr:col>
                    <xdr:colOff>19050</xdr:colOff>
                    <xdr:row>4</xdr:row>
                    <xdr:rowOff>9525</xdr:rowOff>
                  </from>
                  <to>
                    <xdr:col>70</xdr:col>
                    <xdr:colOff>704850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H35"/>
  <sheetViews>
    <sheetView workbookViewId="0">
      <selection activeCell="BJ20" sqref="BJ20"/>
    </sheetView>
  </sheetViews>
  <sheetFormatPr defaultRowHeight="15" x14ac:dyDescent="0.25"/>
  <cols>
    <col min="1" max="53" width="2.5703125" customWidth="1"/>
    <col min="54" max="54" width="5.140625" bestFit="1" customWidth="1"/>
    <col min="55" max="56" width="3" bestFit="1" customWidth="1"/>
    <col min="57" max="57" width="3.7109375" bestFit="1" customWidth="1"/>
    <col min="58" max="58" width="3" bestFit="1" customWidth="1"/>
    <col min="59" max="59" width="12" bestFit="1" customWidth="1"/>
  </cols>
  <sheetData>
    <row r="1" spans="1:60" ht="13.5" customHeight="1" x14ac:dyDescent="0.25">
      <c r="A1" s="19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1"/>
      <c r="BB1" s="28" t="s">
        <v>13</v>
      </c>
      <c r="BC1" s="28" t="s">
        <v>0</v>
      </c>
      <c r="BD1" s="28" t="s">
        <v>11</v>
      </c>
      <c r="BE1" s="29">
        <f>ROUND(SUM(BD2:BD1000)/COUNT(BD2:BD1000),0)</f>
        <v>13</v>
      </c>
      <c r="BF1" s="29">
        <f>ROUND(SUM(BC2:BC1000)/COUNT(BC2:BC1000),0)</f>
        <v>23</v>
      </c>
      <c r="BG1" s="28" t="s">
        <v>12</v>
      </c>
      <c r="BH1" s="28" t="s">
        <v>14</v>
      </c>
    </row>
    <row r="2" spans="1:60" ht="13.5" customHeight="1" x14ac:dyDescent="0.25">
      <c r="A2" s="22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4"/>
      <c r="BB2" s="18">
        <v>1</v>
      </c>
      <c r="BC2" s="18">
        <v>9</v>
      </c>
      <c r="BD2" s="18">
        <v>16</v>
      </c>
      <c r="BE2">
        <v>-14</v>
      </c>
      <c r="BF2">
        <v>3</v>
      </c>
      <c r="BG2">
        <v>14.317821063276353</v>
      </c>
      <c r="BH2">
        <v>192.0947570770121</v>
      </c>
    </row>
    <row r="3" spans="1:60" ht="13.5" customHeight="1" x14ac:dyDescent="0.25">
      <c r="A3" s="22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4"/>
      <c r="BB3" s="18">
        <v>2</v>
      </c>
      <c r="BC3" s="18">
        <v>13</v>
      </c>
      <c r="BD3" s="18">
        <v>13</v>
      </c>
      <c r="BE3">
        <v>-10</v>
      </c>
      <c r="BF3">
        <v>0</v>
      </c>
      <c r="BG3">
        <v>10</v>
      </c>
      <c r="BH3">
        <v>180</v>
      </c>
    </row>
    <row r="4" spans="1:60" ht="13.5" customHeight="1" x14ac:dyDescent="0.25">
      <c r="A4" s="22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4"/>
      <c r="BB4" s="18">
        <v>3</v>
      </c>
      <c r="BC4" s="18">
        <v>14</v>
      </c>
      <c r="BD4" s="18">
        <v>6</v>
      </c>
      <c r="BE4">
        <v>-9</v>
      </c>
      <c r="BF4">
        <v>-7</v>
      </c>
      <c r="BG4">
        <v>11.401754250991379</v>
      </c>
      <c r="BH4">
        <v>142.1250163489018</v>
      </c>
    </row>
    <row r="5" spans="1:60" ht="13.5" customHeight="1" x14ac:dyDescent="0.25">
      <c r="A5" s="22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19"/>
      <c r="O5" s="20"/>
      <c r="P5" s="20"/>
      <c r="Q5" s="20"/>
      <c r="R5" s="20"/>
      <c r="S5" s="20"/>
      <c r="T5" s="20"/>
      <c r="U5" s="31">
        <v>8</v>
      </c>
      <c r="V5" s="21"/>
      <c r="W5" s="21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4"/>
      <c r="BB5" s="18">
        <v>4</v>
      </c>
      <c r="BC5" s="18">
        <v>15</v>
      </c>
      <c r="BD5" s="18">
        <v>14</v>
      </c>
      <c r="BE5">
        <v>-8</v>
      </c>
      <c r="BF5">
        <v>1</v>
      </c>
      <c r="BG5">
        <v>8.0622577482985491</v>
      </c>
      <c r="BH5">
        <v>187.1250163489018</v>
      </c>
    </row>
    <row r="6" spans="1:60" ht="13.5" customHeight="1" x14ac:dyDescent="0.25">
      <c r="A6" s="22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32">
        <v>3</v>
      </c>
      <c r="O6" s="23"/>
      <c r="P6" s="23"/>
      <c r="Q6" s="23"/>
      <c r="R6" s="23"/>
      <c r="S6" s="23"/>
      <c r="T6" s="23"/>
      <c r="U6" s="23"/>
      <c r="V6" s="24"/>
      <c r="W6" s="24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4"/>
      <c r="BB6" s="18">
        <v>5</v>
      </c>
      <c r="BC6" s="18">
        <v>16</v>
      </c>
      <c r="BD6" s="18">
        <v>9</v>
      </c>
      <c r="BE6">
        <v>-7</v>
      </c>
      <c r="BF6">
        <v>-4</v>
      </c>
      <c r="BG6">
        <v>8.0622577482985491</v>
      </c>
      <c r="BH6">
        <v>150.25511870305778</v>
      </c>
    </row>
    <row r="7" spans="1:60" ht="13.5" customHeight="1" x14ac:dyDescent="0.25">
      <c r="A7" s="22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2"/>
      <c r="O7" s="23"/>
      <c r="P7" s="23"/>
      <c r="Q7" s="23"/>
      <c r="R7" s="23"/>
      <c r="S7" s="23"/>
      <c r="T7" s="23"/>
      <c r="U7" s="23"/>
      <c r="V7" s="24"/>
      <c r="W7" s="33">
        <v>11</v>
      </c>
      <c r="X7" s="20"/>
      <c r="Y7" s="31">
        <v>14</v>
      </c>
      <c r="Z7" s="20"/>
      <c r="AA7" s="20"/>
      <c r="AB7" s="20"/>
      <c r="AC7" s="20"/>
      <c r="AD7" s="20"/>
      <c r="AE7" s="20"/>
      <c r="AF7" s="21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4"/>
      <c r="BB7" s="18">
        <v>6</v>
      </c>
      <c r="BC7" s="18">
        <v>16</v>
      </c>
      <c r="BD7" s="18">
        <v>15</v>
      </c>
      <c r="BE7">
        <v>-7</v>
      </c>
      <c r="BF7">
        <v>2</v>
      </c>
      <c r="BG7">
        <v>7.2801098892805181</v>
      </c>
      <c r="BH7">
        <v>195.94539590092285</v>
      </c>
    </row>
    <row r="8" spans="1:60" ht="13.5" customHeight="1" x14ac:dyDescent="0.25">
      <c r="A8" s="22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2"/>
      <c r="O8" s="23"/>
      <c r="P8" s="23"/>
      <c r="Q8" s="23"/>
      <c r="R8" s="23"/>
      <c r="S8" s="23"/>
      <c r="T8" s="23"/>
      <c r="U8" s="23"/>
      <c r="V8" s="24"/>
      <c r="W8" s="24"/>
      <c r="X8" s="23"/>
      <c r="Y8" s="23"/>
      <c r="Z8" s="23"/>
      <c r="AA8" s="23"/>
      <c r="AB8" s="23"/>
      <c r="AC8" s="23"/>
      <c r="AD8" s="23"/>
      <c r="AE8" s="23"/>
      <c r="AF8" s="24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4"/>
      <c r="BB8" s="18">
        <v>7</v>
      </c>
      <c r="BC8" s="18">
        <v>18</v>
      </c>
      <c r="BD8" s="18">
        <v>20</v>
      </c>
      <c r="BE8">
        <v>-5</v>
      </c>
      <c r="BF8">
        <v>7</v>
      </c>
      <c r="BG8">
        <v>8.6023252670426267</v>
      </c>
      <c r="BH8">
        <v>234.46232220802563</v>
      </c>
    </row>
    <row r="9" spans="1:60" ht="13.5" customHeight="1" x14ac:dyDescent="0.25">
      <c r="A9" s="22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2"/>
      <c r="O9" s="23"/>
      <c r="P9" s="30">
        <v>5</v>
      </c>
      <c r="Q9" s="23"/>
      <c r="R9" s="23"/>
      <c r="S9" s="23"/>
      <c r="T9" s="23"/>
      <c r="U9" s="23"/>
      <c r="V9" s="33">
        <v>9</v>
      </c>
      <c r="W9" s="24"/>
      <c r="X9" s="23"/>
      <c r="Y9" s="23"/>
      <c r="Z9" s="23"/>
      <c r="AA9" s="23"/>
      <c r="AB9" s="23"/>
      <c r="AC9" s="23"/>
      <c r="AD9" s="23"/>
      <c r="AE9" s="23"/>
      <c r="AF9" s="33">
        <v>18</v>
      </c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4"/>
      <c r="BB9">
        <v>8</v>
      </c>
      <c r="BC9">
        <v>21</v>
      </c>
      <c r="BD9">
        <v>5</v>
      </c>
      <c r="BE9">
        <v>-2</v>
      </c>
      <c r="BF9">
        <v>-8</v>
      </c>
      <c r="BG9">
        <v>8.2462112512353212</v>
      </c>
      <c r="BH9">
        <v>104.03624346792647</v>
      </c>
    </row>
    <row r="10" spans="1:60" ht="13.5" customHeight="1" x14ac:dyDescent="0.25">
      <c r="A10" s="2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2"/>
      <c r="O10" s="23"/>
      <c r="P10" s="23"/>
      <c r="Q10" s="23"/>
      <c r="R10" s="23"/>
      <c r="S10" s="23"/>
      <c r="T10" s="23"/>
      <c r="U10" s="23"/>
      <c r="V10" s="24"/>
      <c r="W10" s="24"/>
      <c r="X10" s="23"/>
      <c r="Y10" s="23"/>
      <c r="Z10" s="23"/>
      <c r="AA10" s="23"/>
      <c r="AB10" s="23"/>
      <c r="AC10" s="23"/>
      <c r="AD10" s="23"/>
      <c r="AE10" s="23"/>
      <c r="AF10" s="24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4"/>
      <c r="BB10">
        <v>9</v>
      </c>
      <c r="BC10">
        <v>22</v>
      </c>
      <c r="BD10">
        <v>9</v>
      </c>
      <c r="BE10">
        <v>-1</v>
      </c>
      <c r="BF10">
        <v>-4</v>
      </c>
      <c r="BG10">
        <v>4.1231056256176606</v>
      </c>
      <c r="BH10">
        <v>104.03624346792647</v>
      </c>
    </row>
    <row r="11" spans="1:60" ht="13.5" customHeight="1" x14ac:dyDescent="0.25">
      <c r="A11" s="22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2"/>
      <c r="O11" s="23"/>
      <c r="P11" s="23"/>
      <c r="Q11" s="23"/>
      <c r="R11" s="23"/>
      <c r="S11" s="23"/>
      <c r="T11" s="23"/>
      <c r="U11" s="23"/>
      <c r="V11" s="24"/>
      <c r="W11" s="24"/>
      <c r="X11" s="23"/>
      <c r="Y11" s="23"/>
      <c r="Z11" s="23"/>
      <c r="AA11" s="23"/>
      <c r="AB11" s="30">
        <v>16</v>
      </c>
      <c r="AC11" s="23"/>
      <c r="AD11" s="23"/>
      <c r="AE11" s="23"/>
      <c r="AF11" s="24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4"/>
      <c r="BB11">
        <v>10</v>
      </c>
      <c r="BC11">
        <v>22</v>
      </c>
      <c r="BD11">
        <v>12</v>
      </c>
      <c r="BE11">
        <v>-1</v>
      </c>
      <c r="BF11">
        <v>-1</v>
      </c>
      <c r="BG11">
        <v>1.4142135623730951</v>
      </c>
      <c r="BH11">
        <v>135</v>
      </c>
    </row>
    <row r="12" spans="1:60" ht="13.5" customHeight="1" x14ac:dyDescent="0.25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5"/>
      <c r="O12" s="26"/>
      <c r="P12" s="26"/>
      <c r="Q12" s="26"/>
      <c r="R12" s="26"/>
      <c r="S12" s="26"/>
      <c r="T12" s="26"/>
      <c r="U12" s="26"/>
      <c r="V12" s="34">
        <v>10</v>
      </c>
      <c r="W12" s="27"/>
      <c r="X12" s="26"/>
      <c r="Y12" s="26"/>
      <c r="Z12" s="26"/>
      <c r="AA12" s="26"/>
      <c r="AB12" s="26"/>
      <c r="AC12" s="26"/>
      <c r="AD12" s="26"/>
      <c r="AE12" s="26"/>
      <c r="AF12" s="27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4"/>
      <c r="BB12">
        <v>11</v>
      </c>
      <c r="BC12">
        <v>23</v>
      </c>
      <c r="BD12">
        <v>7</v>
      </c>
      <c r="BE12">
        <v>0</v>
      </c>
      <c r="BF12">
        <v>-6</v>
      </c>
      <c r="BG12">
        <v>6</v>
      </c>
      <c r="BH12">
        <v>270</v>
      </c>
    </row>
    <row r="13" spans="1:60" ht="13.5" customHeight="1" x14ac:dyDescent="0.25">
      <c r="A13" s="22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30">
        <v>2</v>
      </c>
      <c r="N13" s="23"/>
      <c r="O13" s="23"/>
      <c r="P13" s="23"/>
      <c r="Q13" s="23"/>
      <c r="R13" s="23"/>
      <c r="S13" s="23"/>
      <c r="T13" s="23"/>
      <c r="U13" s="23"/>
      <c r="V13" s="23"/>
      <c r="W13" s="23">
        <v>0</v>
      </c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30">
        <v>21</v>
      </c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4"/>
      <c r="BB13">
        <v>12</v>
      </c>
      <c r="BC13">
        <v>23</v>
      </c>
      <c r="BD13">
        <v>14</v>
      </c>
      <c r="BE13">
        <v>0</v>
      </c>
      <c r="BF13">
        <v>1</v>
      </c>
      <c r="BG13">
        <v>1</v>
      </c>
      <c r="BH13">
        <v>90</v>
      </c>
    </row>
    <row r="14" spans="1:60" ht="13.5" customHeight="1" x14ac:dyDescent="0.25">
      <c r="A14" s="22"/>
      <c r="B14" s="23"/>
      <c r="C14" s="23"/>
      <c r="D14" s="23"/>
      <c r="E14" s="23"/>
      <c r="F14" s="23"/>
      <c r="G14" s="23"/>
      <c r="H14" s="23"/>
      <c r="I14" s="19"/>
      <c r="J14" s="20"/>
      <c r="K14" s="20"/>
      <c r="L14" s="20"/>
      <c r="M14" s="20"/>
      <c r="N14" s="20"/>
      <c r="O14" s="31">
        <v>4</v>
      </c>
      <c r="P14" s="20"/>
      <c r="Q14" s="20"/>
      <c r="R14" s="20"/>
      <c r="S14" s="20"/>
      <c r="T14" s="20"/>
      <c r="U14" s="20"/>
      <c r="V14" s="20"/>
      <c r="W14" s="37">
        <v>12</v>
      </c>
      <c r="X14" s="19"/>
      <c r="Y14" s="20"/>
      <c r="Z14" s="20"/>
      <c r="AA14" s="20"/>
      <c r="AB14" s="20"/>
      <c r="AC14" s="31">
        <v>17</v>
      </c>
      <c r="AD14" s="20"/>
      <c r="AE14" s="20"/>
      <c r="AF14" s="20"/>
      <c r="AG14" s="20"/>
      <c r="AH14" s="20"/>
      <c r="AI14" s="35">
        <v>20</v>
      </c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4"/>
      <c r="BB14">
        <v>13</v>
      </c>
      <c r="BC14">
        <v>23</v>
      </c>
      <c r="BD14">
        <v>22</v>
      </c>
      <c r="BE14">
        <v>0</v>
      </c>
      <c r="BF14">
        <v>9</v>
      </c>
      <c r="BG14">
        <v>9</v>
      </c>
      <c r="BH14">
        <v>90</v>
      </c>
    </row>
    <row r="15" spans="1:60" ht="13.5" customHeight="1" x14ac:dyDescent="0.25">
      <c r="A15" s="22"/>
      <c r="B15" s="23"/>
      <c r="C15" s="23"/>
      <c r="D15" s="23"/>
      <c r="E15" s="23"/>
      <c r="F15" s="23"/>
      <c r="G15" s="23"/>
      <c r="H15" s="23"/>
      <c r="I15" s="22"/>
      <c r="J15" s="23"/>
      <c r="K15" s="23"/>
      <c r="L15" s="23"/>
      <c r="M15" s="23"/>
      <c r="N15" s="23"/>
      <c r="O15" s="23"/>
      <c r="P15" s="30">
        <v>6</v>
      </c>
      <c r="Q15" s="23"/>
      <c r="R15" s="23"/>
      <c r="S15" s="23"/>
      <c r="T15" s="23"/>
      <c r="U15" s="23"/>
      <c r="V15" s="23"/>
      <c r="W15" s="22"/>
      <c r="X15" s="22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4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4"/>
      <c r="BB15">
        <v>14</v>
      </c>
      <c r="BC15">
        <v>25</v>
      </c>
      <c r="BD15">
        <v>7</v>
      </c>
      <c r="BE15">
        <v>2</v>
      </c>
      <c r="BF15">
        <v>-6</v>
      </c>
      <c r="BG15">
        <v>6.324555320336759</v>
      </c>
      <c r="BH15">
        <v>71.56505117707799</v>
      </c>
    </row>
    <row r="16" spans="1:60" ht="13.5" customHeight="1" x14ac:dyDescent="0.25">
      <c r="A16" s="22"/>
      <c r="B16" s="23"/>
      <c r="C16" s="23"/>
      <c r="D16" s="23"/>
      <c r="E16" s="23"/>
      <c r="F16" s="23"/>
      <c r="G16" s="23"/>
      <c r="H16" s="23"/>
      <c r="I16" s="32">
        <v>1</v>
      </c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2"/>
      <c r="X16" s="22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4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4"/>
      <c r="BB16">
        <v>15</v>
      </c>
      <c r="BC16">
        <v>26</v>
      </c>
      <c r="BD16">
        <v>17</v>
      </c>
      <c r="BE16">
        <v>3</v>
      </c>
      <c r="BF16">
        <v>4</v>
      </c>
      <c r="BG16">
        <v>5</v>
      </c>
      <c r="BH16">
        <v>306.86989764584405</v>
      </c>
    </row>
    <row r="17" spans="1:60" ht="13.5" customHeight="1" x14ac:dyDescent="0.25">
      <c r="A17" s="22"/>
      <c r="B17" s="23"/>
      <c r="C17" s="23"/>
      <c r="D17" s="23"/>
      <c r="E17" s="23"/>
      <c r="F17" s="23"/>
      <c r="G17" s="23"/>
      <c r="H17" s="23"/>
      <c r="I17" s="22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2"/>
      <c r="X17" s="22"/>
      <c r="Y17" s="23"/>
      <c r="Z17" s="30">
        <v>15</v>
      </c>
      <c r="AA17" s="23"/>
      <c r="AB17" s="23"/>
      <c r="AC17" s="23"/>
      <c r="AD17" s="23"/>
      <c r="AE17" s="23"/>
      <c r="AF17" s="23"/>
      <c r="AG17" s="23"/>
      <c r="AH17" s="23"/>
      <c r="AI17" s="24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4"/>
      <c r="BB17">
        <v>16</v>
      </c>
      <c r="BC17">
        <v>28</v>
      </c>
      <c r="BD17">
        <v>11</v>
      </c>
      <c r="BE17">
        <v>5</v>
      </c>
      <c r="BF17">
        <v>-2</v>
      </c>
      <c r="BG17">
        <v>5.3851648071345037</v>
      </c>
      <c r="BH17">
        <v>21.801409486351812</v>
      </c>
    </row>
    <row r="18" spans="1:60" ht="13.5" customHeight="1" x14ac:dyDescent="0.25">
      <c r="A18" s="22"/>
      <c r="B18" s="23"/>
      <c r="C18" s="23"/>
      <c r="D18" s="23"/>
      <c r="E18" s="23"/>
      <c r="F18" s="23"/>
      <c r="G18" s="23"/>
      <c r="H18" s="23"/>
      <c r="I18" s="22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2"/>
      <c r="X18" s="22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4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4"/>
      <c r="BB18">
        <v>17</v>
      </c>
      <c r="BC18">
        <v>29</v>
      </c>
      <c r="BD18">
        <v>14</v>
      </c>
      <c r="BE18">
        <v>6</v>
      </c>
      <c r="BF18">
        <v>1</v>
      </c>
      <c r="BG18">
        <v>6.0827625302982193</v>
      </c>
      <c r="BH18">
        <v>350.53767779197437</v>
      </c>
    </row>
    <row r="19" spans="1:60" ht="13.5" customHeight="1" x14ac:dyDescent="0.25">
      <c r="A19" s="22"/>
      <c r="B19" s="23"/>
      <c r="C19" s="23"/>
      <c r="D19" s="23"/>
      <c r="E19" s="23"/>
      <c r="F19" s="23"/>
      <c r="G19" s="23"/>
      <c r="H19" s="23"/>
      <c r="I19" s="22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2"/>
      <c r="X19" s="22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4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4"/>
      <c r="BB19">
        <v>18</v>
      </c>
      <c r="BC19">
        <v>32</v>
      </c>
      <c r="BD19">
        <v>9</v>
      </c>
      <c r="BE19">
        <v>9</v>
      </c>
      <c r="BF19">
        <v>-4</v>
      </c>
      <c r="BG19">
        <v>9.8488578017961039</v>
      </c>
      <c r="BH19">
        <v>23.962488974578182</v>
      </c>
    </row>
    <row r="20" spans="1:60" ht="13.5" customHeight="1" x14ac:dyDescent="0.25">
      <c r="A20" s="22"/>
      <c r="B20" s="23"/>
      <c r="C20" s="23"/>
      <c r="D20" s="23"/>
      <c r="E20" s="23"/>
      <c r="F20" s="23"/>
      <c r="G20" s="23"/>
      <c r="H20" s="23"/>
      <c r="I20" s="25"/>
      <c r="J20" s="26"/>
      <c r="K20" s="26"/>
      <c r="L20" s="26"/>
      <c r="M20" s="26"/>
      <c r="N20" s="26"/>
      <c r="O20" s="26"/>
      <c r="P20" s="26"/>
      <c r="Q20" s="26"/>
      <c r="R20" s="36">
        <v>7</v>
      </c>
      <c r="S20" s="26"/>
      <c r="T20" s="26"/>
      <c r="U20" s="26"/>
      <c r="V20" s="26"/>
      <c r="W20" s="22"/>
      <c r="X20" s="22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4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4"/>
      <c r="BB20">
        <v>19</v>
      </c>
      <c r="BC20">
        <v>33</v>
      </c>
      <c r="BD20">
        <v>21</v>
      </c>
      <c r="BE20">
        <v>10</v>
      </c>
      <c r="BF20">
        <v>8</v>
      </c>
      <c r="BG20">
        <v>12.806248474865697</v>
      </c>
      <c r="BH20">
        <v>321.34019174590992</v>
      </c>
    </row>
    <row r="21" spans="1:60" ht="13.5" customHeight="1" x14ac:dyDescent="0.25">
      <c r="A21" s="22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2"/>
      <c r="X21" s="25"/>
      <c r="Y21" s="26"/>
      <c r="Z21" s="26"/>
      <c r="AA21" s="26"/>
      <c r="AB21" s="26"/>
      <c r="AC21" s="26"/>
      <c r="AD21" s="26"/>
      <c r="AE21" s="26"/>
      <c r="AF21" s="26"/>
      <c r="AG21" s="36">
        <v>19</v>
      </c>
      <c r="AH21" s="26"/>
      <c r="AI21" s="27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4"/>
      <c r="BB21">
        <v>20</v>
      </c>
      <c r="BC21">
        <v>35</v>
      </c>
      <c r="BD21">
        <v>14</v>
      </c>
      <c r="BE21">
        <v>12</v>
      </c>
      <c r="BF21">
        <v>1</v>
      </c>
      <c r="BG21">
        <v>12.041594578792296</v>
      </c>
      <c r="BH21">
        <v>355.23635830927384</v>
      </c>
    </row>
    <row r="22" spans="1:60" ht="13.5" customHeight="1" x14ac:dyDescent="0.25">
      <c r="A22" s="22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38">
        <v>13</v>
      </c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7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4"/>
      <c r="BB22">
        <v>21</v>
      </c>
      <c r="BC22">
        <v>39</v>
      </c>
      <c r="BD22">
        <v>13</v>
      </c>
      <c r="BE22">
        <v>16</v>
      </c>
      <c r="BF22">
        <v>0</v>
      </c>
      <c r="BG22">
        <v>16</v>
      </c>
      <c r="BH22">
        <v>360</v>
      </c>
    </row>
    <row r="23" spans="1:60" ht="13.5" customHeight="1" x14ac:dyDescent="0.25">
      <c r="A23" s="22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4"/>
    </row>
    <row r="24" spans="1:60" ht="13.5" customHeight="1" x14ac:dyDescent="0.25">
      <c r="A24" s="22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4"/>
    </row>
    <row r="25" spans="1:60" ht="13.5" customHeight="1" x14ac:dyDescent="0.25">
      <c r="A25" s="22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4"/>
    </row>
    <row r="26" spans="1:60" ht="13.5" customHeight="1" x14ac:dyDescent="0.25">
      <c r="A26" s="22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4"/>
    </row>
    <row r="27" spans="1:60" ht="13.5" customHeight="1" x14ac:dyDescent="0.25">
      <c r="A27" s="22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4"/>
    </row>
    <row r="28" spans="1:60" ht="13.5" customHeight="1" x14ac:dyDescent="0.25">
      <c r="A28" s="22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4"/>
    </row>
    <row r="29" spans="1:60" ht="13.5" customHeight="1" x14ac:dyDescent="0.25">
      <c r="A29" s="22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4"/>
    </row>
    <row r="30" spans="1:60" ht="13.5" customHeight="1" x14ac:dyDescent="0.25">
      <c r="A30" s="22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4"/>
    </row>
    <row r="31" spans="1:60" ht="13.5" customHeight="1" x14ac:dyDescent="0.25">
      <c r="A31" s="22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4"/>
    </row>
    <row r="32" spans="1:60" ht="13.5" customHeight="1" x14ac:dyDescent="0.25">
      <c r="A32" s="22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4"/>
    </row>
    <row r="33" spans="1:53" ht="13.5" customHeight="1" x14ac:dyDescent="0.25">
      <c r="A33" s="22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4"/>
    </row>
    <row r="34" spans="1:53" ht="13.5" customHeight="1" x14ac:dyDescent="0.25">
      <c r="A34" s="22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4"/>
    </row>
    <row r="35" spans="1:53" ht="13.5" customHeight="1" x14ac:dyDescent="0.25">
      <c r="A35" s="25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ocalsearch">
                <anchor moveWithCells="1" sizeWithCells="1">
                  <from>
                    <xdr:col>45</xdr:col>
                    <xdr:colOff>47625</xdr:colOff>
                    <xdr:row>1</xdr:row>
                    <xdr:rowOff>28575</xdr:rowOff>
                  </from>
                  <to>
                    <xdr:col>51</xdr:col>
                    <xdr:colOff>142875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dd">
                <anchor moveWithCells="1" sizeWithCells="1">
                  <from>
                    <xdr:col>45</xdr:col>
                    <xdr:colOff>47625</xdr:colOff>
                    <xdr:row>4</xdr:row>
                    <xdr:rowOff>19050</xdr:rowOff>
                  </from>
                  <to>
                    <xdr:col>51</xdr:col>
                    <xdr:colOff>142875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riti</vt:lpstr>
      <vt:lpstr>dd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Blaguiescu, Dan</dc:creator>
  <cp:lastModifiedBy>danbl</cp:lastModifiedBy>
  <dcterms:created xsi:type="dcterms:W3CDTF">2006-09-16T00:00:00Z</dcterms:created>
  <dcterms:modified xsi:type="dcterms:W3CDTF">2018-07-17T14:11:39Z</dcterms:modified>
</cp:coreProperties>
</file>