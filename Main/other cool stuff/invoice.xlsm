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I:\My Drive\Dexterial\Cool Projects\Invoice\"/>
    </mc:Choice>
  </mc:AlternateContent>
  <xr:revisionPtr revIDLastSave="0" documentId="13_ncr:1_{EE002DF4-D24F-464F-BBF8-B9C539734943}" xr6:coauthVersionLast="34" xr6:coauthVersionMax="34" xr10:uidLastSave="{00000000-0000-0000-0000-000000000000}"/>
  <bookViews>
    <workbookView xWindow="0" yWindow="0" windowWidth="28800" windowHeight="13935" xr2:uid="{00000000-000D-0000-FFFF-FFFF00000000}"/>
  </bookViews>
  <sheets>
    <sheet name="Main" sheetId="14" r:id="rId1"/>
    <sheet name="Firma" sheetId="13" r:id="rId2"/>
    <sheet name="Products" sheetId="15" r:id="rId3"/>
    <sheet name="Template" sheetId="37" r:id="rId4"/>
  </sheets>
  <functionGroups builtInGroupCount="19"/>
  <definedNames>
    <definedName name="_xlnm.Print_Area" localSheetId="3">Template!$B$1:$L$70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" i="37" l="1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34" i="37"/>
  <c r="K19" i="37"/>
  <c r="R21" i="37"/>
  <c r="R23" i="37"/>
  <c r="R27" i="37"/>
  <c r="R29" i="37"/>
  <c r="R31" i="37"/>
  <c r="R33" i="37"/>
  <c r="R19" i="37"/>
  <c r="R34" i="37"/>
  <c r="R32" i="37"/>
  <c r="R30" i="37"/>
  <c r="R28" i="37"/>
  <c r="R26" i="37"/>
  <c r="R25" i="37"/>
  <c r="R24" i="37"/>
  <c r="R22" i="37"/>
  <c r="R20" i="37"/>
  <c r="K37" i="37" l="1"/>
  <c r="K39" i="37" s="1"/>
  <c r="K38" i="37" l="1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E24" i="14"/>
  <c r="E23" i="14"/>
  <c r="E22" i="14"/>
  <c r="E21" i="14"/>
  <c r="E20" i="14"/>
  <c r="E19" i="14"/>
  <c r="E18" i="14"/>
  <c r="E17" i="14"/>
  <c r="E16" i="14"/>
  <c r="E15" i="14"/>
  <c r="E14" i="14"/>
  <c r="E13" i="14"/>
  <c r="E12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D11" i="14" s="1"/>
  <c r="B10" i="14"/>
  <c r="E10" i="14" s="1"/>
  <c r="B9" i="14"/>
  <c r="E9" i="14" s="1"/>
  <c r="B3" i="14"/>
  <c r="B6" i="14"/>
  <c r="E11" i="14" l="1"/>
  <c r="D9" i="14"/>
  <c r="D10" i="14"/>
</calcChain>
</file>

<file path=xl/sharedStrings.xml><?xml version="1.0" encoding="utf-8"?>
<sst xmlns="http://schemas.openxmlformats.org/spreadsheetml/2006/main" count="184" uniqueCount="159">
  <si>
    <t>Firma</t>
  </si>
  <si>
    <t>Address</t>
  </si>
  <si>
    <t>PostCode</t>
  </si>
  <si>
    <t>City</t>
  </si>
  <si>
    <t>CVR</t>
  </si>
  <si>
    <t>DK</t>
  </si>
  <si>
    <t>Name</t>
  </si>
  <si>
    <t>Stk.</t>
  </si>
  <si>
    <t>Phone</t>
  </si>
  <si>
    <t>Web</t>
  </si>
  <si>
    <t>Email</t>
  </si>
  <si>
    <t>CVR Country</t>
  </si>
  <si>
    <t>company_email</t>
  </si>
  <si>
    <t>company_bank_account</t>
  </si>
  <si>
    <t>Bank Reg No</t>
  </si>
  <si>
    <t>Bank Account</t>
  </si>
  <si>
    <t>company_workplace</t>
  </si>
  <si>
    <t>Workplace</t>
  </si>
  <si>
    <t>company_name</t>
  </si>
  <si>
    <t>company_address</t>
  </si>
  <si>
    <t>company_post_code</t>
  </si>
  <si>
    <t>company_city</t>
  </si>
  <si>
    <t>company_phone</t>
  </si>
  <si>
    <t>company_web_page</t>
  </si>
  <si>
    <t>company_bank_code</t>
  </si>
  <si>
    <t>company_cvr_no</t>
  </si>
  <si>
    <t>company_cvr_code</t>
  </si>
  <si>
    <t>Customer</t>
  </si>
  <si>
    <t>Client</t>
  </si>
  <si>
    <t>Invoice No</t>
  </si>
  <si>
    <t>Code</t>
  </si>
  <si>
    <t>product_name</t>
  </si>
  <si>
    <t>product_code</t>
  </si>
  <si>
    <t>Product Type</t>
  </si>
  <si>
    <t>Product Price</t>
  </si>
  <si>
    <t>product_type</t>
  </si>
  <si>
    <t>product_price</t>
  </si>
  <si>
    <t>Products</t>
  </si>
  <si>
    <t>Qty</t>
  </si>
  <si>
    <t>p1</t>
  </si>
  <si>
    <t>Default Price</t>
  </si>
  <si>
    <t>Manual Price</t>
  </si>
  <si>
    <t>customer</t>
  </si>
  <si>
    <t>client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</si>
  <si>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</si>
  <si>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</si>
  <si>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</si>
  <si>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</si>
  <si>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</si>
  <si>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</si>
  <si>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</si>
  <si>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</si>
  <si>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</si>
  <si>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</si>
  <si>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</si>
  <si>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</si>
  <si>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</si>
  <si>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</si>
  <si>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</si>
  <si>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</t>
  </si>
  <si>
    <t>company_payment_days</t>
  </si>
  <si>
    <t>Payment Days</t>
  </si>
  <si>
    <t>start</t>
  </si>
  <si>
    <t>&lt;company_name&gt;</t>
  </si>
  <si>
    <t>&lt;customer_name&gt;</t>
  </si>
  <si>
    <t>&lt;customer_address&gt;</t>
  </si>
  <si>
    <t>&lt;customer_post_code&gt; &lt;customer_city&gt;</t>
  </si>
  <si>
    <t>Cvr-nr.:&lt;customer_cvr_code&gt;&lt;customer_cvr_no&gt;</t>
  </si>
  <si>
    <t>Dato: &lt;invoice_date&gt;</t>
  </si>
  <si>
    <t>Faktura</t>
  </si>
  <si>
    <t>Beskrivelse</t>
  </si>
  <si>
    <t>Antal</t>
  </si>
  <si>
    <t>Enhed</t>
  </si>
  <si>
    <t>Stk. Pris</t>
  </si>
  <si>
    <t>Pris</t>
  </si>
  <si>
    <t>lstart</t>
  </si>
  <si>
    <t>lend</t>
  </si>
  <si>
    <t>Subtotal</t>
  </si>
  <si>
    <t>Moms (25,00%)</t>
  </si>
  <si>
    <t>Total DKK</t>
  </si>
  <si>
    <t>Betalingsbetingelser: Netto &lt;customer_payment_days&gt; dage - Forfaldsdato: &lt;payment_date&gt;</t>
  </si>
  <si>
    <t>Beløbet indbetales på bankkonto:</t>
  </si>
  <si>
    <t>Bank / Reg.nr. &lt;company_bank_code&gt; / Kontonr. &lt;company_bank_account&gt;</t>
  </si>
  <si>
    <t>Fakturanr. &lt;invoice_no&gt; bedes angivet ved bankoverførsel</t>
  </si>
  <si>
    <t>Ved betaling efter forfald tilskrives der renter på 0,70% samt et gebyr på 100,00</t>
  </si>
  <si>
    <t xml:space="preserve"> / &lt;company_address&gt; / &lt;company_post_code&gt; &lt;company_city&gt;</t>
  </si>
  <si>
    <t>end</t>
  </si>
  <si>
    <t>Cvr-nr.:&lt;company_cvr_code&gt;&lt;company_cvr_no&gt; / Tlf. &lt;company_phone&gt; / Web: &lt;company_web_page&gt; / Email: &lt;company_email&gt;</t>
  </si>
  <si>
    <t>&lt;p1_name&gt;</t>
  </si>
  <si>
    <t>&lt;p1_qty&gt;</t>
  </si>
  <si>
    <t>&lt;p1_type&gt;</t>
  </si>
  <si>
    <t>&lt;p1_price&gt;</t>
  </si>
  <si>
    <t>VAT Included</t>
  </si>
  <si>
    <t>&lt;p2_name&gt;</t>
  </si>
  <si>
    <t>&lt;p2_qty&gt;</t>
  </si>
  <si>
    <t>&lt;p2_type&gt;</t>
  </si>
  <si>
    <t>&lt;p2_price&gt;</t>
  </si>
  <si>
    <t>&lt;p3_name&gt;</t>
  </si>
  <si>
    <t>&lt;p3_qty&gt;</t>
  </si>
  <si>
    <t>&lt;p3_type&gt;</t>
  </si>
  <si>
    <t>&lt;p3_price&gt;</t>
  </si>
  <si>
    <t>&lt;p4_name&gt;</t>
  </si>
  <si>
    <t>&lt;p4_qty&gt;</t>
  </si>
  <si>
    <t>&lt;p4_type&gt;</t>
  </si>
  <si>
    <t>&lt;p4_price&gt;</t>
  </si>
  <si>
    <t>&lt;p5_name&gt;</t>
  </si>
  <si>
    <t>&lt;p5_qty&gt;</t>
  </si>
  <si>
    <t>&lt;p5_type&gt;</t>
  </si>
  <si>
    <t>&lt;p5_price&gt;</t>
  </si>
  <si>
    <t>&lt;p6_name&gt;</t>
  </si>
  <si>
    <t>&lt;p6_qty&gt;</t>
  </si>
  <si>
    <t>&lt;p6_type&gt;</t>
  </si>
  <si>
    <t>&lt;p6_price&gt;</t>
  </si>
  <si>
    <t>&lt;p7_name&gt;</t>
  </si>
  <si>
    <t>&lt;p7_qty&gt;</t>
  </si>
  <si>
    <t>&lt;p7_type&gt;</t>
  </si>
  <si>
    <t>&lt;p7_price&gt;</t>
  </si>
  <si>
    <t>&lt;p8_name&gt;</t>
  </si>
  <si>
    <t>&lt;p8_qty&gt;</t>
  </si>
  <si>
    <t>&lt;p8_type&gt;</t>
  </si>
  <si>
    <t>&lt;p8_price&gt;</t>
  </si>
  <si>
    <t>&lt;p9_name&gt;</t>
  </si>
  <si>
    <t>&lt;p9_qty&gt;</t>
  </si>
  <si>
    <t>&lt;p9_type&gt;</t>
  </si>
  <si>
    <t>&lt;p9_price&gt;</t>
  </si>
  <si>
    <t>&lt;p10_name&gt;</t>
  </si>
  <si>
    <t>&lt;p10_qty&gt;</t>
  </si>
  <si>
    <t>&lt;p10_type&gt;</t>
  </si>
  <si>
    <t>&lt;p10_price&gt;</t>
  </si>
  <si>
    <t>&lt;p11_name&gt;</t>
  </si>
  <si>
    <t>&lt;p11_qty&gt;</t>
  </si>
  <si>
    <t>&lt;p11_type&gt;</t>
  </si>
  <si>
    <t>&lt;p11_price&gt;</t>
  </si>
  <si>
    <t>&lt;p12_name&gt;</t>
  </si>
  <si>
    <t>&lt;p12_qty&gt;</t>
  </si>
  <si>
    <t>&lt;p12_type&gt;</t>
  </si>
  <si>
    <t>&lt;p12_price&gt;</t>
  </si>
  <si>
    <t>&lt;p13_name&gt;</t>
  </si>
  <si>
    <t>&lt;p13_qty&gt;</t>
  </si>
  <si>
    <t>&lt;p13_type&gt;</t>
  </si>
  <si>
    <t>&lt;p13_price&gt;</t>
  </si>
  <si>
    <t>&lt;p14_name&gt;</t>
  </si>
  <si>
    <t>&lt;p14_qty&gt;</t>
  </si>
  <si>
    <t>&lt;p14_type&gt;</t>
  </si>
  <si>
    <t>&lt;p14_price&gt;</t>
  </si>
  <si>
    <t>&lt;p15_name&gt;</t>
  </si>
  <si>
    <t>&lt;p15_qty&gt;</t>
  </si>
  <si>
    <t>&lt;p15_type&gt;</t>
  </si>
  <si>
    <t>&lt;p15_price&gt;</t>
  </si>
  <si>
    <t>&lt;p16_name&gt;</t>
  </si>
  <si>
    <t>&lt;p16_qty&gt;</t>
  </si>
  <si>
    <t>&lt;p16_type&gt;</t>
  </si>
  <si>
    <t>&lt;p16_price&gt;</t>
  </si>
  <si>
    <t>WorkPlace</t>
  </si>
  <si>
    <t>Fakturanr. &lt;invoice_no&gt;</t>
  </si>
  <si>
    <t>Konsulenttimer - normal</t>
  </si>
  <si>
    <t>Konsulenttimer - tilbud</t>
  </si>
  <si>
    <t>main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</si>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</sst>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28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3"/>
      <color rgb="FF3A302A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thick">
        <color theme="2" tint="-0.749961851863155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5" borderId="2" applyNumberFormat="0" applyAlignment="0" applyProtection="0"/>
  </cellStyleXfs>
  <cellXfs count="40">
    <xf numFmtId="0" fontId="0" fillId="0" borderId="0" xfId="0"/>
    <xf numFmtId="0" fontId="2" fillId="3" borderId="1" xfId="2"/>
    <xf numFmtId="0" fontId="5" fillId="6" borderId="0" xfId="0" applyFont="1" applyFill="1"/>
    <xf numFmtId="0" fontId="4" fillId="5" borderId="4" xfId="4" applyBorder="1"/>
    <xf numFmtId="0" fontId="4" fillId="5" borderId="3" xfId="4" applyBorder="1"/>
    <xf numFmtId="0" fontId="1" fillId="2" borderId="3" xfId="1" applyBorder="1"/>
    <xf numFmtId="0" fontId="3" fillId="4" borderId="1" xfId="3"/>
    <xf numFmtId="0" fontId="6" fillId="0" borderId="0" xfId="0" applyFon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/>
    <xf numFmtId="0" fontId="10" fillId="0" borderId="5" xfId="0" applyFont="1" applyBorder="1"/>
    <xf numFmtId="0" fontId="6" fillId="0" borderId="5" xfId="0" applyFont="1" applyBorder="1"/>
    <xf numFmtId="0" fontId="11" fillId="0" borderId="0" xfId="0" applyFont="1"/>
    <xf numFmtId="0" fontId="8" fillId="0" borderId="0" xfId="0" applyFont="1" applyBorder="1"/>
    <xf numFmtId="39" fontId="8" fillId="0" borderId="0" xfId="0" applyNumberFormat="1" applyFont="1" applyAlignment="1">
      <alignment horizontal="right" vertical="top"/>
    </xf>
    <xf numFmtId="39" fontId="8" fillId="0" borderId="0" xfId="0" applyNumberFormat="1" applyFont="1" applyAlignment="1">
      <alignment horizontal="left" vertical="top"/>
    </xf>
    <xf numFmtId="0" fontId="8" fillId="0" borderId="0" xfId="0" applyFont="1" applyAlignment="1">
      <alignment wrapText="1"/>
    </xf>
    <xf numFmtId="39" fontId="8" fillId="0" borderId="0" xfId="0" applyNumberFormat="1" applyFont="1" applyAlignment="1">
      <alignment horizontal="left"/>
    </xf>
    <xf numFmtId="39" fontId="8" fillId="0" borderId="0" xfId="0" applyNumberFormat="1" applyFont="1" applyAlignment="1">
      <alignment horizontal="right"/>
    </xf>
    <xf numFmtId="39" fontId="8" fillId="0" borderId="0" xfId="0" applyNumberFormat="1" applyFont="1" applyBorder="1" applyAlignment="1">
      <alignment horizontal="left"/>
    </xf>
    <xf numFmtId="39" fontId="8" fillId="0" borderId="0" xfId="0" applyNumberFormat="1" applyFont="1" applyBorder="1" applyAlignment="1">
      <alignment horizontal="right"/>
    </xf>
    <xf numFmtId="39" fontId="8" fillId="0" borderId="6" xfId="0" applyNumberFormat="1" applyFont="1" applyBorder="1" applyAlignment="1">
      <alignment horizontal="left"/>
    </xf>
    <xf numFmtId="39" fontId="8" fillId="0" borderId="6" xfId="0" applyNumberFormat="1" applyFont="1" applyBorder="1" applyAlignment="1">
      <alignment horizontal="right"/>
    </xf>
    <xf numFmtId="0" fontId="12" fillId="0" borderId="0" xfId="0" applyFont="1" applyAlignment="1">
      <alignment horizontal="right"/>
    </xf>
    <xf numFmtId="0" fontId="8" fillId="0" borderId="7" xfId="0" applyFont="1" applyBorder="1"/>
    <xf numFmtId="0" fontId="8" fillId="0" borderId="7" xfId="0" applyFont="1" applyBorder="1" applyAlignment="1">
      <alignment horizontal="right" indent="1"/>
    </xf>
    <xf numFmtId="39" fontId="8" fillId="0" borderId="7" xfId="0" applyNumberFormat="1" applyFont="1" applyBorder="1" applyAlignment="1">
      <alignment horizontal="left"/>
    </xf>
    <xf numFmtId="39" fontId="8" fillId="0" borderId="7" xfId="0" applyNumberFormat="1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11" fillId="0" borderId="0" xfId="0" applyFont="1" applyAlignment="1"/>
    <xf numFmtId="39" fontId="9" fillId="0" borderId="0" xfId="0" applyNumberFormat="1" applyFont="1" applyBorder="1" applyAlignment="1">
      <alignment horizontal="left"/>
    </xf>
    <xf numFmtId="39" fontId="9" fillId="0" borderId="0" xfId="0" applyNumberFormat="1" applyFont="1" applyBorder="1" applyAlignment="1">
      <alignment horizontal="right"/>
    </xf>
    <xf numFmtId="0" fontId="13" fillId="0" borderId="0" xfId="0" applyFont="1"/>
    <xf numFmtId="0" fontId="4" fillId="5" borderId="3" xfId="4" applyBorder="1" applyAlignment="1">
      <alignment horizontal="left"/>
    </xf>
    <xf numFmtId="0" fontId="1" fillId="2" borderId="3" xfId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/>
    </xf>
    <xf numFmtId="0" fontId="0" fillId="7" borderId="0" xfId="0" applyFill="1"/>
  </cellXfs>
  <cellStyles count="5">
    <cellStyle name="Calculation" xfId="3" builtinId="22"/>
    <cellStyle name="Check Cell" xfId="4" builtinId="23"/>
    <cellStyle name="Good" xfId="1" builtinId="26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485775</xdr:colOff>
      <xdr:row>1</xdr:row>
      <xdr:rowOff>57150</xdr:rowOff>
    </xdr:from>
    <xdr:to>
      <xdr:col>7</xdr:col>
      <xdr:colOff>685800</xdr:colOff>
      <xdr:row>2</xdr:row>
      <xdr:rowOff>361950</xdr:rowOff>
    </xdr:to>
    <xdr:sp macro="[0]!generateInvoic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91200" y="57150"/>
          <a:ext cx="1647825" cy="49530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GENERATE INVOICE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theme="9"/>
  </sheetPr>
  <dimension ref="A1:H24"/>
  <sheetViews>
    <sheetView tabSelected="1" topLeftCell="C2" workbookViewId="0">
      <selection activeCell="C14" sqref="C14"/>
    </sheetView>
  </sheetViews>
  <sheetFormatPr defaultRowHeight="15" x14ac:dyDescent="0.25"/>
  <cols>
    <col min="1" max="2" width="0" hidden="1" customWidth="1"/>
    <col min="3" max="3" width="53.7109375" bestFit="1" customWidth="1"/>
    <col min="4" max="4" width="13.42578125" customWidth="1"/>
    <col min="5" max="5" width="12.42578125" bestFit="1" customWidth="1"/>
    <col min="6" max="6" width="12.5703125" bestFit="1" customWidth="1"/>
    <col min="8" max="8" width="12.7109375" bestFit="1" customWidth="1"/>
    <col min="14" max="14" width="11.140625" bestFit="1" customWidth="1"/>
  </cols>
  <sheetData>
    <row r="1" spans="1:8" hidden="1" x14ac:dyDescent="0.25"/>
    <row r="2" spans="1:8" x14ac:dyDescent="0.25">
      <c r="C2" s="4" t="s">
        <v>27</v>
      </c>
      <c r="E2" s="4" t="s">
        <v>29</v>
      </c>
    </row>
    <row r="3" spans="1:8" ht="30" customHeight="1" x14ac:dyDescent="0.25">
      <c r="A3" t="s">
        <v>42</v>
      </c>
      <c r="B3">
        <f>MATCH(C3,Firma!A:A,0)</f>
        <v>3</v>
      </c>
      <c r="C3" s="5" t="s">
        <v>157</v>
      </c>
      <c r="E3" s="6">
        <v>1</v>
      </c>
    </row>
    <row r="5" spans="1:8" x14ac:dyDescent="0.25">
      <c r="C5" s="4" t="s">
        <v>28</v>
      </c>
      <c r="D5" s="35" t="s">
        <v>153</v>
      </c>
      <c r="E5" s="35"/>
      <c r="F5" s="35"/>
      <c r="G5" s="35"/>
      <c r="H5" s="35"/>
    </row>
    <row r="6" spans="1:8" ht="29.25" customHeight="1" x14ac:dyDescent="0.25">
      <c r="A6" t="s">
        <v>43</v>
      </c>
      <c r="B6">
        <f>MATCH(C6,Firma!A:A,0)</f>
        <v>4</v>
      </c>
      <c r="C6" s="5" t="s">
        <v>158</v>
      </c>
      <c r="D6" s="36"/>
      <c r="E6" s="36"/>
      <c r="F6" s="36"/>
      <c r="G6" s="36"/>
      <c r="H6" s="36"/>
    </row>
    <row r="7" spans="1:8" ht="15.75" thickBot="1" x14ac:dyDescent="0.3">
      <c r="A7" t="s">
        <v>59</v>
      </c>
    </row>
    <row r="8" spans="1:8" ht="15.75" thickTop="1" x14ac:dyDescent="0.25">
      <c r="C8" s="3" t="s">
        <v>37</v>
      </c>
      <c r="D8" s="3" t="s">
        <v>33</v>
      </c>
      <c r="E8" s="3" t="s">
        <v>40</v>
      </c>
      <c r="F8" s="3" t="s">
        <v>41</v>
      </c>
      <c r="G8" s="3" t="s">
        <v>38</v>
      </c>
      <c r="H8" s="3" t="s">
        <v>92</v>
      </c>
    </row>
    <row r="9" spans="1:8" x14ac:dyDescent="0.25">
      <c r="A9" t="s">
        <v>39</v>
      </c>
      <c r="B9">
        <f>IF(C9&lt;&gt;"",MATCH(C9,Products!B:B,0),"")</f>
        <v>3</v>
      </c>
      <c r="C9" s="5" t="s">
        <v>155</v>
      </c>
      <c r="D9" s="6" t="str">
        <f>IF(C9&lt;&gt;"",INDEX(Products!C:C,B9),"")</f>
        <v>Stk.</v>
      </c>
      <c r="E9" s="6">
        <f>IF(C9&lt;&gt;"",INDEX(Products!D:D,B9),"")</f>
        <v>1000</v>
      </c>
      <c r="F9" s="5"/>
      <c r="G9" s="5">
        <v>1</v>
      </c>
      <c r="H9" s="5" t="b">
        <v>0</v>
      </c>
    </row>
    <row r="10" spans="1:8" x14ac:dyDescent="0.25">
      <c r="A10" t="s">
        <v>44</v>
      </c>
      <c r="B10">
        <f>IF(C10&lt;&gt;"",MATCH(C10,Products!B:B,0),"")</f>
        <v>4</v>
      </c>
      <c r="C10" s="5" t="s">
        <v>156</v>
      </c>
      <c r="D10" s="6" t="str">
        <f>IF(C10&lt;&gt;"",INDEX(Products!C:C,B10),"")</f>
        <v>Stk.</v>
      </c>
      <c r="E10" s="6">
        <f>IF(C10&lt;&gt;"",INDEX(Products!D:D,B10),"")</f>
        <v>745</v>
      </c>
      <c r="F10" s="5"/>
      <c r="G10" s="5">
        <v>2</v>
      </c>
      <c r="H10" s="5" t="b">
        <v>0</v>
      </c>
    </row>
    <row r="11" spans="1:8" x14ac:dyDescent="0.25">
      <c r="A11" t="s">
        <v>45</v>
      </c>
      <c r="B11" t="str">
        <f>IF(C11&lt;&gt;"",MATCH(C11,Products!B:B,0),"")</f>
        <v/>
      </c>
      <c r="C11" s="5"/>
      <c r="D11" s="6" t="str">
        <f>IF(C11&lt;&gt;"",INDEX(Products!C:C,B11),"")</f>
        <v/>
      </c>
      <c r="E11" s="6" t="str">
        <f>IF(C11&lt;&gt;"",INDEX(Products!D:D,B11),"")</f>
        <v/>
      </c>
      <c r="F11" s="5"/>
      <c r="G11" s="5"/>
      <c r="H11" s="5"/>
    </row>
    <row r="12" spans="1:8" x14ac:dyDescent="0.25">
      <c r="A12" t="s">
        <v>46</v>
      </c>
      <c r="B12" t="str">
        <f>IF(C12&lt;&gt;"",MATCH(C12,Products!B:B,0),"")</f>
        <v/>
      </c>
      <c r="C12" s="5"/>
      <c r="D12" s="6" t="str">
        <f>IF(C12&lt;&gt;"",INDEX(Products!C:C,B12),"")</f>
        <v/>
      </c>
      <c r="E12" s="6" t="str">
        <f>IF(C12&lt;&gt;"",INDEX(Products!D:D,B12),"")</f>
        <v/>
      </c>
      <c r="F12" s="5"/>
      <c r="G12" s="5"/>
      <c r="H12" s="5"/>
    </row>
    <row r="13" spans="1:8" x14ac:dyDescent="0.25">
      <c r="A13" t="s">
        <v>47</v>
      </c>
      <c r="B13" t="str">
        <f>IF(C13&lt;&gt;"",MATCH(C13,Products!B:B,0),"")</f>
        <v/>
      </c>
      <c r="C13" s="5"/>
      <c r="D13" s="6" t="str">
        <f>IF(C13&lt;&gt;"",INDEX(Products!C:C,B13),"")</f>
        <v/>
      </c>
      <c r="E13" s="6" t="str">
        <f>IF(C13&lt;&gt;"",INDEX(Products!D:D,B13),"")</f>
        <v/>
      </c>
      <c r="F13" s="5"/>
      <c r="G13" s="5"/>
      <c r="H13" s="5"/>
    </row>
    <row r="14" spans="1:8" x14ac:dyDescent="0.25">
      <c r="A14" t="s">
        <v>48</v>
      </c>
      <c r="B14" t="str">
        <f>IF(C14&lt;&gt;"",MATCH(C14,Products!B:B,0),"")</f>
        <v/>
      </c>
      <c r="C14" s="5"/>
      <c r="D14" s="6" t="str">
        <f>IF(C14&lt;&gt;"",INDEX(Products!C:C,B14),"")</f>
        <v/>
      </c>
      <c r="E14" s="6" t="str">
        <f>IF(C14&lt;&gt;"",INDEX(Products!D:D,B14),"")</f>
        <v/>
      </c>
      <c r="F14" s="5"/>
      <c r="G14" s="5"/>
      <c r="H14" s="5"/>
    </row>
    <row r="15" spans="1:8" x14ac:dyDescent="0.25">
      <c r="A15" t="s">
        <v>49</v>
      </c>
      <c r="B15" t="str">
        <f>IF(C15&lt;&gt;"",MATCH(C15,Products!B:B,0),"")</f>
        <v/>
      </c>
      <c r="C15" s="5"/>
      <c r="D15" s="6" t="str">
        <f>IF(C15&lt;&gt;"",INDEX(Products!C:C,B15),"")</f>
        <v/>
      </c>
      <c r="E15" s="6" t="str">
        <f>IF(C15&lt;&gt;"",INDEX(Products!D:D,B15),"")</f>
        <v/>
      </c>
      <c r="F15" s="5"/>
      <c r="G15" s="5"/>
      <c r="H15" s="5"/>
    </row>
    <row r="16" spans="1:8" x14ac:dyDescent="0.25">
      <c r="A16" t="s">
        <v>50</v>
      </c>
      <c r="B16" t="str">
        <f>IF(C16&lt;&gt;"",MATCH(C16,Products!B:B,0),"")</f>
        <v/>
      </c>
      <c r="C16" s="5"/>
      <c r="D16" s="6" t="str">
        <f>IF(C16&lt;&gt;"",INDEX(Products!C:C,B16),"")</f>
        <v/>
      </c>
      <c r="E16" s="6" t="str">
        <f>IF(C16&lt;&gt;"",INDEX(Products!D:D,B16),"")</f>
        <v/>
      </c>
      <c r="F16" s="5"/>
      <c r="G16" s="5"/>
      <c r="H16" s="5"/>
    </row>
    <row r="17" spans="1:8" x14ac:dyDescent="0.25">
      <c r="A17" t="s">
        <v>51</v>
      </c>
      <c r="B17" t="str">
        <f>IF(C17&lt;&gt;"",MATCH(C17,Products!B:B,0),"")</f>
        <v/>
      </c>
      <c r="C17" s="5"/>
      <c r="D17" s="6" t="str">
        <f>IF(C17&lt;&gt;"",INDEX(Products!C:C,B17),"")</f>
        <v/>
      </c>
      <c r="E17" s="6" t="str">
        <f>IF(C17&lt;&gt;"",INDEX(Products!D:D,B17),"")</f>
        <v/>
      </c>
      <c r="F17" s="5"/>
      <c r="G17" s="5"/>
      <c r="H17" s="5"/>
    </row>
    <row r="18" spans="1:8" x14ac:dyDescent="0.25">
      <c r="A18" t="s">
        <v>52</v>
      </c>
      <c r="B18" t="str">
        <f>IF(C18&lt;&gt;"",MATCH(C18,Products!B:B,0),"")</f>
        <v/>
      </c>
      <c r="C18" s="5"/>
      <c r="D18" s="6" t="str">
        <f>IF(C18&lt;&gt;"",INDEX(Products!C:C,B18),"")</f>
        <v/>
      </c>
      <c r="E18" s="6" t="str">
        <f>IF(C18&lt;&gt;"",INDEX(Products!D:D,B18),"")</f>
        <v/>
      </c>
      <c r="F18" s="5"/>
      <c r="G18" s="5"/>
      <c r="H18" s="5"/>
    </row>
    <row r="19" spans="1:8" x14ac:dyDescent="0.25">
      <c r="A19" t="s">
        <v>53</v>
      </c>
      <c r="B19" t="str">
        <f>IF(C19&lt;&gt;"",MATCH(C19,Products!B:B,0),"")</f>
        <v/>
      </c>
      <c r="C19" s="5"/>
      <c r="D19" s="6" t="str">
        <f>IF(C19&lt;&gt;"",INDEX(Products!C:C,B19),"")</f>
        <v/>
      </c>
      <c r="E19" s="6" t="str">
        <f>IF(C19&lt;&gt;"",INDEX(Products!D:D,B19),"")</f>
        <v/>
      </c>
      <c r="F19" s="5"/>
      <c r="G19" s="5"/>
      <c r="H19" s="5"/>
    </row>
    <row r="20" spans="1:8" x14ac:dyDescent="0.25">
      <c r="A20" t="s">
        <v>54</v>
      </c>
      <c r="B20" t="str">
        <f>IF(C20&lt;&gt;"",MATCH(C20,Products!B:B,0),"")</f>
        <v/>
      </c>
      <c r="C20" s="5"/>
      <c r="D20" s="6" t="str">
        <f>IF(C20&lt;&gt;"",INDEX(Products!C:C,B20),"")</f>
        <v/>
      </c>
      <c r="E20" s="6" t="str">
        <f>IF(C20&lt;&gt;"",INDEX(Products!D:D,B20),"")</f>
        <v/>
      </c>
      <c r="F20" s="5"/>
      <c r="G20" s="5"/>
      <c r="H20" s="5"/>
    </row>
    <row r="21" spans="1:8" x14ac:dyDescent="0.25">
      <c r="A21" t="s">
        <v>55</v>
      </c>
      <c r="B21" t="str">
        <f>IF(C21&lt;&gt;"",MATCH(C21,Products!B:B,0),"")</f>
        <v/>
      </c>
      <c r="C21" s="5"/>
      <c r="D21" s="6" t="str">
        <f>IF(C21&lt;&gt;"",INDEX(Products!C:C,B21),"")</f>
        <v/>
      </c>
      <c r="E21" s="6" t="str">
        <f>IF(C21&lt;&gt;"",INDEX(Products!D:D,B21),"")</f>
        <v/>
      </c>
      <c r="F21" s="5"/>
      <c r="G21" s="5"/>
      <c r="H21" s="5"/>
    </row>
    <row r="22" spans="1:8" x14ac:dyDescent="0.25">
      <c r="A22" t="s">
        <v>56</v>
      </c>
      <c r="B22" t="str">
        <f>IF(C22&lt;&gt;"",MATCH(C22,Products!B:B,0),"")</f>
        <v/>
      </c>
      <c r="C22" s="5"/>
      <c r="D22" s="6" t="str">
        <f>IF(C22&lt;&gt;"",INDEX(Products!C:C,B22),"")</f>
        <v/>
      </c>
      <c r="E22" s="6" t="str">
        <f>IF(C22&lt;&gt;"",INDEX(Products!D:D,B22),"")</f>
        <v/>
      </c>
      <c r="F22" s="5"/>
      <c r="G22" s="5"/>
      <c r="H22" s="5"/>
    </row>
    <row r="23" spans="1:8" x14ac:dyDescent="0.25">
      <c r="A23" t="s">
        <v>57</v>
      </c>
      <c r="B23" t="str">
        <f>IF(C23&lt;&gt;"",MATCH(C23,Products!B:B,0),"")</f>
        <v/>
      </c>
      <c r="C23" s="5"/>
      <c r="D23" s="6" t="str">
        <f>IF(C23&lt;&gt;"",INDEX(Products!C:C,B23),"")</f>
        <v/>
      </c>
      <c r="E23" s="6" t="str">
        <f>IF(C23&lt;&gt;"",INDEX(Products!D:D,B23),"")</f>
        <v/>
      </c>
      <c r="F23" s="5"/>
      <c r="G23" s="5"/>
      <c r="H23" s="5"/>
    </row>
    <row r="24" spans="1:8" x14ac:dyDescent="0.25">
      <c r="A24" t="s">
        <v>58</v>
      </c>
      <c r="B24" t="str">
        <f>IF(C24&lt;&gt;"",MATCH(C24,Products!B:B,0),"")</f>
        <v/>
      </c>
      <c r="C24" s="5"/>
      <c r="D24" s="6" t="str">
        <f>IF(C24&lt;&gt;"",INDEX(Products!C:C,B24),"")</f>
        <v/>
      </c>
      <c r="E24" s="6" t="str">
        <f>IF(C24&lt;&gt;"",INDEX(Products!D:D,B24),"")</f>
        <v/>
      </c>
      <c r="F24" s="5"/>
      <c r="G24" s="5"/>
      <c r="H24" s="5"/>
    </row>
  </sheetData>
  <mergeCells count="2">
    <mergeCell ref="D5:H5"/>
    <mergeCell ref="D6:H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Products!$B$3:$B$998</xm:f>
          </x14:formula1>
          <xm:sqref>C9:C24</xm:sqref>
        </x14:dataValidation>
        <x14:dataValidation type="list" allowBlank="1" showInputMessage="1" showErrorMessage="1" xr:uid="{00000000-0002-0000-0000-000001000000}">
          <x14:formula1>
            <xm:f>Firma!$A4:$A997</xm:f>
          </x14:formula1>
          <xm:sqref>C6</xm:sqref>
        </x14:dataValidation>
        <x14:dataValidation type="list" allowBlank="1" showInputMessage="1" showErrorMessage="1" xr:uid="{00000000-0002-0000-0000-000002000000}">
          <x14:formula1>
            <xm:f>Firma!$A3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8" tint="-0.249977111117893"/>
  </sheetPr>
  <dimension ref="A1:M4"/>
  <sheetViews>
    <sheetView topLeftCell="A2" workbookViewId="0">
      <selection activeCell="H4" sqref="H4"/>
    </sheetView>
  </sheetViews>
  <sheetFormatPr defaultRowHeight="15" x14ac:dyDescent="0.25"/>
  <cols>
    <col min="1" max="1" width="24.5703125" bestFit="1" customWidth="1"/>
    <col min="2" max="2" width="28.42578125" bestFit="1" customWidth="1"/>
    <col min="3" max="3" width="19.42578125" bestFit="1" customWidth="1"/>
    <col min="4" max="4" width="13.28515625" bestFit="1" customWidth="1"/>
    <col min="5" max="5" width="9" bestFit="1" customWidth="1"/>
    <col min="6" max="6" width="18.140625" bestFit="1" customWidth="1"/>
    <col min="7" max="8" width="23.28515625" bestFit="1" customWidth="1"/>
    <col min="9" max="9" width="15.85546875" bestFit="1" customWidth="1"/>
    <col min="10" max="10" width="26" bestFit="1" customWidth="1"/>
    <col min="11" max="11" width="29" bestFit="1" customWidth="1"/>
    <col min="12" max="12" width="19.85546875" bestFit="1" customWidth="1"/>
    <col min="13" max="13" width="22.5703125" bestFit="1" customWidth="1"/>
  </cols>
  <sheetData>
    <row r="1" spans="1:13" hidden="1" x14ac:dyDescent="0.25">
      <c r="A1" t="s">
        <v>18</v>
      </c>
      <c r="B1" t="s">
        <v>19</v>
      </c>
      <c r="C1" t="s">
        <v>20</v>
      </c>
      <c r="D1" t="s">
        <v>21</v>
      </c>
      <c r="E1" t="s">
        <v>25</v>
      </c>
      <c r="F1" t="s">
        <v>26</v>
      </c>
      <c r="G1" t="s">
        <v>16</v>
      </c>
      <c r="H1" t="s">
        <v>60</v>
      </c>
      <c r="I1" t="s">
        <v>22</v>
      </c>
      <c r="J1" t="s">
        <v>23</v>
      </c>
      <c r="K1" t="s">
        <v>12</v>
      </c>
      <c r="L1" t="s">
        <v>24</v>
      </c>
      <c r="M1" t="s">
        <v>13</v>
      </c>
    </row>
    <row r="2" spans="1:13" x14ac:dyDescent="0.2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11</v>
      </c>
      <c r="G2" s="2" t="s">
        <v>17</v>
      </c>
      <c r="H2" s="2" t="s">
        <v>61</v>
      </c>
      <c r="I2" s="2" t="s">
        <v>8</v>
      </c>
      <c r="J2" s="2" t="s">
        <v>9</v>
      </c>
      <c r="K2" s="2" t="s">
        <v>10</v>
      </c>
      <c r="L2" s="2" t="s">
        <v>14</v>
      </c>
      <c r="M2" s="2" t="s">
        <v>15</v>
      </c>
    </row>
    <row r="3" spans="1:13" x14ac:dyDescent="0.25">
      <c r="A3" s="1" t="s">
        <v>157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7.25" x14ac:dyDescent="0.3">
      <c r="A4" s="34" t="s">
        <v>158</v>
      </c>
      <c r="B4" s="34"/>
      <c r="F4" t="s">
        <v>5</v>
      </c>
      <c r="H4">
        <v>30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/>
  </sheetPr>
  <dimension ref="A1:D4"/>
  <sheetViews>
    <sheetView topLeftCell="A2" workbookViewId="0">
      <selection activeCell="A2" sqref="A2:D2"/>
    </sheetView>
  </sheetViews>
  <sheetFormatPr defaultRowHeight="15" x14ac:dyDescent="0.25"/>
  <cols>
    <col min="1" max="1" width="10.85546875" customWidth="1"/>
    <col min="2" max="2" width="53.7109375" bestFit="1" customWidth="1"/>
    <col min="3" max="3" width="20.28515625" customWidth="1"/>
    <col min="4" max="4" width="13.42578125" bestFit="1" customWidth="1"/>
  </cols>
  <sheetData>
    <row r="1" spans="1:4" hidden="1" x14ac:dyDescent="0.25">
      <c r="A1" t="s">
        <v>32</v>
      </c>
      <c r="B1" t="s">
        <v>31</v>
      </c>
      <c r="C1" t="s">
        <v>35</v>
      </c>
      <c r="D1" t="s">
        <v>36</v>
      </c>
    </row>
    <row r="2" spans="1:4" x14ac:dyDescent="0.25">
      <c r="A2" s="39" t="s">
        <v>30</v>
      </c>
      <c r="B2" s="39" t="s">
        <v>6</v>
      </c>
      <c r="C2" s="39" t="s">
        <v>33</v>
      </c>
      <c r="D2" s="39" t="s">
        <v>34</v>
      </c>
    </row>
    <row r="3" spans="1:4" x14ac:dyDescent="0.25">
      <c r="A3" t="s">
        <v>39</v>
      </c>
      <c r="B3" t="s">
        <v>155</v>
      </c>
      <c r="C3" t="s">
        <v>7</v>
      </c>
      <c r="D3">
        <v>1000</v>
      </c>
    </row>
    <row r="4" spans="1:4" x14ac:dyDescent="0.25">
      <c r="A4" t="s">
        <v>44</v>
      </c>
      <c r="B4" t="s">
        <v>156</v>
      </c>
      <c r="C4" t="s">
        <v>7</v>
      </c>
      <c r="D4">
        <v>745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 tint="-0.249977111117893"/>
  </sheetPr>
  <dimension ref="A1:S69"/>
  <sheetViews>
    <sheetView showGridLines="0" view="pageBreakPreview" topLeftCell="B1" zoomScale="60" zoomScaleNormal="100" workbookViewId="0">
      <selection activeCell="J43" sqref="J43"/>
    </sheetView>
  </sheetViews>
  <sheetFormatPr defaultColWidth="9.140625" defaultRowHeight="14.25" x14ac:dyDescent="0.2"/>
  <cols>
    <col min="1" max="1" width="9.140625" style="7" hidden="1" customWidth="1"/>
    <col min="2" max="2" width="3.7109375" style="7" customWidth="1"/>
    <col min="3" max="3" width="9.140625" style="7"/>
    <col min="4" max="6" width="13.140625" style="7" customWidth="1"/>
    <col min="7" max="7" width="15.5703125" style="7" customWidth="1"/>
    <col min="8" max="9" width="11.7109375" style="7" customWidth="1"/>
    <col min="10" max="10" width="47.28515625" style="7" customWidth="1"/>
    <col min="11" max="11" width="19.28515625" style="7" customWidth="1"/>
    <col min="12" max="12" width="6" style="7" customWidth="1"/>
    <col min="13" max="16" width="9.140625" style="7"/>
    <col min="17" max="17" width="9.140625" style="7" hidden="1" customWidth="1"/>
    <col min="18" max="18" width="62.42578125" style="7" hidden="1" customWidth="1"/>
    <col min="19" max="19" width="9.140625" style="7" hidden="1" customWidth="1"/>
    <col min="20" max="16384" width="9.140625" style="7"/>
  </cols>
  <sheetData>
    <row r="1" spans="1:12" ht="35.25" x14ac:dyDescent="0.5">
      <c r="A1" s="7" t="s">
        <v>62</v>
      </c>
      <c r="K1" s="8" t="s">
        <v>63</v>
      </c>
    </row>
    <row r="2" spans="1:12" ht="18" x14ac:dyDescent="0.25">
      <c r="C2" s="9"/>
      <c r="D2" s="9"/>
      <c r="E2" s="9"/>
      <c r="F2" s="9"/>
      <c r="G2" s="9"/>
      <c r="H2" s="9"/>
      <c r="I2" s="9"/>
      <c r="J2" s="9"/>
      <c r="K2" s="9"/>
    </row>
    <row r="3" spans="1:12" ht="18" x14ac:dyDescent="0.25">
      <c r="C3" s="10" t="s">
        <v>64</v>
      </c>
      <c r="D3" s="9"/>
      <c r="E3" s="9"/>
      <c r="F3" s="9"/>
      <c r="G3" s="9"/>
      <c r="H3" s="9"/>
      <c r="I3" s="9"/>
      <c r="J3" s="9"/>
      <c r="K3" s="9"/>
    </row>
    <row r="4" spans="1:12" ht="18" x14ac:dyDescent="0.25">
      <c r="C4" s="9" t="s">
        <v>65</v>
      </c>
      <c r="D4" s="9"/>
      <c r="E4" s="9"/>
      <c r="F4" s="9"/>
      <c r="G4" s="9"/>
      <c r="H4" s="9"/>
      <c r="I4" s="9"/>
      <c r="J4" s="9"/>
      <c r="K4" s="9"/>
    </row>
    <row r="5" spans="1:12" ht="18" x14ac:dyDescent="0.25">
      <c r="C5" s="9" t="s">
        <v>66</v>
      </c>
      <c r="D5" s="9"/>
      <c r="E5" s="9"/>
      <c r="F5" s="9"/>
      <c r="G5" s="9"/>
      <c r="H5" s="9"/>
      <c r="I5" s="9"/>
      <c r="J5" s="9"/>
      <c r="K5" s="9"/>
    </row>
    <row r="6" spans="1:12" ht="18" x14ac:dyDescent="0.25">
      <c r="C6" s="9" t="s">
        <v>67</v>
      </c>
      <c r="D6" s="9"/>
      <c r="E6" s="9"/>
      <c r="F6" s="9"/>
      <c r="G6" s="9"/>
      <c r="H6" s="9"/>
      <c r="I6" s="9"/>
      <c r="J6" s="9"/>
      <c r="K6" s="9"/>
    </row>
    <row r="7" spans="1:12" ht="18" x14ac:dyDescent="0.25">
      <c r="C7" s="9"/>
      <c r="D7" s="9"/>
      <c r="E7" s="9"/>
      <c r="F7" s="9"/>
      <c r="G7" s="9"/>
      <c r="H7" s="9"/>
      <c r="I7" s="9"/>
      <c r="J7" s="9"/>
      <c r="K7" s="9"/>
    </row>
    <row r="8" spans="1:12" ht="18" x14ac:dyDescent="0.25">
      <c r="C8" s="9"/>
      <c r="D8" s="9"/>
      <c r="E8" s="9"/>
      <c r="F8" s="9"/>
      <c r="G8" s="9"/>
      <c r="H8" s="9"/>
      <c r="I8" s="9"/>
      <c r="J8" s="9"/>
      <c r="K8" s="9"/>
    </row>
    <row r="9" spans="1:12" ht="18" x14ac:dyDescent="0.25">
      <c r="C9" s="9"/>
      <c r="D9" s="9"/>
      <c r="E9" s="9"/>
      <c r="F9" s="9"/>
      <c r="G9" s="9"/>
      <c r="H9" s="9"/>
      <c r="I9" s="9"/>
      <c r="J9" s="9"/>
      <c r="K9" s="9"/>
    </row>
    <row r="10" spans="1:12" ht="18" x14ac:dyDescent="0.25">
      <c r="C10" s="9"/>
      <c r="D10" s="9"/>
      <c r="E10" s="9"/>
      <c r="F10" s="9"/>
      <c r="G10" s="9"/>
      <c r="H10" s="9"/>
      <c r="I10" s="9"/>
      <c r="J10" s="9"/>
      <c r="K10" s="9"/>
    </row>
    <row r="11" spans="1:12" ht="18" x14ac:dyDescent="0.25">
      <c r="C11" s="10" t="s">
        <v>68</v>
      </c>
      <c r="D11" s="10"/>
      <c r="E11" s="9"/>
      <c r="F11" s="9"/>
      <c r="G11" s="9"/>
      <c r="H11" s="9"/>
      <c r="I11" s="9"/>
      <c r="J11" s="30"/>
      <c r="K11" s="30" t="s">
        <v>154</v>
      </c>
    </row>
    <row r="12" spans="1:12" ht="18" x14ac:dyDescent="0.25">
      <c r="C12" s="9"/>
      <c r="D12" s="9"/>
      <c r="E12" s="9"/>
      <c r="F12" s="9"/>
      <c r="G12" s="9"/>
      <c r="H12" s="9"/>
      <c r="I12" s="9"/>
      <c r="J12" s="9"/>
      <c r="K12" s="9"/>
    </row>
    <row r="13" spans="1:12" ht="18" x14ac:dyDescent="0.25">
      <c r="C13" s="9"/>
      <c r="D13" s="9"/>
      <c r="E13" s="9"/>
      <c r="F13" s="9"/>
      <c r="G13" s="9"/>
      <c r="H13" s="9"/>
      <c r="I13" s="9"/>
      <c r="J13" s="9"/>
      <c r="K13" s="9"/>
    </row>
    <row r="14" spans="1:12" ht="18" x14ac:dyDescent="0.25">
      <c r="C14" s="9"/>
      <c r="D14" s="9"/>
      <c r="E14" s="9"/>
      <c r="F14" s="9"/>
      <c r="G14" s="9"/>
      <c r="H14" s="9"/>
      <c r="I14" s="9"/>
      <c r="J14" s="9"/>
      <c r="K14" s="9"/>
    </row>
    <row r="15" spans="1:12" ht="28.5" thickBot="1" x14ac:dyDescent="0.45">
      <c r="C15" s="11" t="s">
        <v>69</v>
      </c>
      <c r="D15" s="12"/>
      <c r="E15" s="12"/>
      <c r="F15" s="12"/>
      <c r="G15" s="12"/>
      <c r="H15" s="12"/>
      <c r="I15" s="12"/>
      <c r="J15" s="12"/>
      <c r="K15" s="12"/>
    </row>
    <row r="16" spans="1:12" ht="15.75" thickTop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  <row r="17" spans="1:18" ht="18" x14ac:dyDescent="0.25">
      <c r="A17" s="13"/>
      <c r="B17" s="13"/>
      <c r="C17" s="25" t="s">
        <v>70</v>
      </c>
      <c r="D17" s="25"/>
      <c r="E17" s="25"/>
      <c r="F17" s="25"/>
      <c r="G17" s="25"/>
      <c r="H17" s="26" t="s">
        <v>71</v>
      </c>
      <c r="I17" s="25" t="s">
        <v>72</v>
      </c>
      <c r="J17" s="26" t="s">
        <v>73</v>
      </c>
      <c r="K17" s="26" t="s">
        <v>74</v>
      </c>
      <c r="L17" s="9"/>
    </row>
    <row r="18" spans="1:18" ht="18" x14ac:dyDescent="0.25">
      <c r="A18" s="13" t="s">
        <v>75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9"/>
    </row>
    <row r="19" spans="1:18" ht="35.25" customHeight="1" x14ac:dyDescent="0.25">
      <c r="A19" s="13" t="s">
        <v>39</v>
      </c>
      <c r="B19" s="13"/>
      <c r="C19" s="37" t="s">
        <v>88</v>
      </c>
      <c r="D19" s="37"/>
      <c r="E19" s="37"/>
      <c r="F19" s="37"/>
      <c r="G19" s="37"/>
      <c r="H19" s="15" t="s">
        <v>89</v>
      </c>
      <c r="I19" s="16" t="s">
        <v>90</v>
      </c>
      <c r="J19" s="15" t="s">
        <v>91</v>
      </c>
      <c r="K19" s="15" t="str">
        <f>IFERROR(H19*J19,"")</f>
        <v/>
      </c>
      <c r="L19" s="9"/>
      <c r="R19" s="17" t="str">
        <f>C19</f>
        <v>&lt;p1_name&gt;</v>
      </c>
    </row>
    <row r="20" spans="1:18" ht="35.25" hidden="1" customHeight="1" x14ac:dyDescent="0.25">
      <c r="A20" s="13" t="s">
        <v>44</v>
      </c>
      <c r="B20" s="13"/>
      <c r="C20" s="37" t="s">
        <v>93</v>
      </c>
      <c r="D20" s="37"/>
      <c r="E20" s="37"/>
      <c r="F20" s="37"/>
      <c r="G20" s="37"/>
      <c r="H20" s="15" t="s">
        <v>94</v>
      </c>
      <c r="I20" s="16" t="s">
        <v>95</v>
      </c>
      <c r="J20" s="15" t="s">
        <v>96</v>
      </c>
      <c r="K20" s="15" t="str">
        <f t="shared" ref="K20:K34" si="0">IFERROR(H20*J20,"")</f>
        <v/>
      </c>
      <c r="L20" s="9"/>
      <c r="R20" s="17" t="str">
        <f t="shared" ref="R20:R34" si="1">C20</f>
        <v>&lt;p2_name&gt;</v>
      </c>
    </row>
    <row r="21" spans="1:18" ht="35.25" hidden="1" customHeight="1" x14ac:dyDescent="0.25">
      <c r="A21" s="13" t="s">
        <v>45</v>
      </c>
      <c r="B21" s="13"/>
      <c r="C21" s="37" t="s">
        <v>97</v>
      </c>
      <c r="D21" s="37"/>
      <c r="E21" s="37"/>
      <c r="F21" s="37"/>
      <c r="G21" s="37"/>
      <c r="H21" s="15" t="s">
        <v>98</v>
      </c>
      <c r="I21" s="16" t="s">
        <v>99</v>
      </c>
      <c r="J21" s="15" t="s">
        <v>100</v>
      </c>
      <c r="K21" s="15" t="str">
        <f t="shared" si="0"/>
        <v/>
      </c>
      <c r="L21" s="9"/>
      <c r="R21" s="17" t="str">
        <f t="shared" si="1"/>
        <v>&lt;p3_name&gt;</v>
      </c>
    </row>
    <row r="22" spans="1:18" ht="35.25" hidden="1" customHeight="1" x14ac:dyDescent="0.25">
      <c r="A22" s="13" t="s">
        <v>46</v>
      </c>
      <c r="B22" s="13"/>
      <c r="C22" s="37" t="s">
        <v>101</v>
      </c>
      <c r="D22" s="37"/>
      <c r="E22" s="37"/>
      <c r="F22" s="37"/>
      <c r="G22" s="37"/>
      <c r="H22" s="15" t="s">
        <v>102</v>
      </c>
      <c r="I22" s="16" t="s">
        <v>103</v>
      </c>
      <c r="J22" s="15" t="s">
        <v>104</v>
      </c>
      <c r="K22" s="15" t="str">
        <f t="shared" si="0"/>
        <v/>
      </c>
      <c r="L22" s="9"/>
      <c r="R22" s="17" t="str">
        <f t="shared" si="1"/>
        <v>&lt;p4_name&gt;</v>
      </c>
    </row>
    <row r="23" spans="1:18" ht="35.25" hidden="1" customHeight="1" x14ac:dyDescent="0.25">
      <c r="A23" s="13" t="s">
        <v>47</v>
      </c>
      <c r="B23" s="13"/>
      <c r="C23" s="37" t="s">
        <v>105</v>
      </c>
      <c r="D23" s="37"/>
      <c r="E23" s="37"/>
      <c r="F23" s="37"/>
      <c r="G23" s="37"/>
      <c r="H23" s="15" t="s">
        <v>106</v>
      </c>
      <c r="I23" s="16" t="s">
        <v>107</v>
      </c>
      <c r="J23" s="15" t="s">
        <v>108</v>
      </c>
      <c r="K23" s="15" t="str">
        <f t="shared" si="0"/>
        <v/>
      </c>
      <c r="L23" s="9"/>
      <c r="R23" s="17" t="str">
        <f t="shared" si="1"/>
        <v>&lt;p5_name&gt;</v>
      </c>
    </row>
    <row r="24" spans="1:18" ht="35.25" hidden="1" customHeight="1" x14ac:dyDescent="0.25">
      <c r="A24" s="13" t="s">
        <v>48</v>
      </c>
      <c r="B24" s="13"/>
      <c r="C24" s="37" t="s">
        <v>109</v>
      </c>
      <c r="D24" s="37"/>
      <c r="E24" s="37"/>
      <c r="F24" s="37"/>
      <c r="G24" s="37"/>
      <c r="H24" s="15" t="s">
        <v>110</v>
      </c>
      <c r="I24" s="16" t="s">
        <v>111</v>
      </c>
      <c r="J24" s="15" t="s">
        <v>112</v>
      </c>
      <c r="K24" s="15" t="str">
        <f t="shared" si="0"/>
        <v/>
      </c>
      <c r="L24" s="9"/>
      <c r="R24" s="17" t="str">
        <f t="shared" si="1"/>
        <v>&lt;p6_name&gt;</v>
      </c>
    </row>
    <row r="25" spans="1:18" ht="35.25" hidden="1" customHeight="1" x14ac:dyDescent="0.25">
      <c r="A25" s="13" t="s">
        <v>49</v>
      </c>
      <c r="B25" s="13"/>
      <c r="C25" s="37" t="s">
        <v>113</v>
      </c>
      <c r="D25" s="37"/>
      <c r="E25" s="37"/>
      <c r="F25" s="37"/>
      <c r="G25" s="37"/>
      <c r="H25" s="15" t="s">
        <v>114</v>
      </c>
      <c r="I25" s="16" t="s">
        <v>115</v>
      </c>
      <c r="J25" s="15" t="s">
        <v>116</v>
      </c>
      <c r="K25" s="15" t="str">
        <f t="shared" si="0"/>
        <v/>
      </c>
      <c r="L25" s="9"/>
      <c r="R25" s="17" t="str">
        <f t="shared" si="1"/>
        <v>&lt;p7_name&gt;</v>
      </c>
    </row>
    <row r="26" spans="1:18" ht="35.25" hidden="1" customHeight="1" x14ac:dyDescent="0.25">
      <c r="A26" s="13" t="s">
        <v>50</v>
      </c>
      <c r="B26" s="13"/>
      <c r="C26" s="37" t="s">
        <v>117</v>
      </c>
      <c r="D26" s="37"/>
      <c r="E26" s="37"/>
      <c r="F26" s="37"/>
      <c r="G26" s="37"/>
      <c r="H26" s="15" t="s">
        <v>118</v>
      </c>
      <c r="I26" s="16" t="s">
        <v>119</v>
      </c>
      <c r="J26" s="15" t="s">
        <v>120</v>
      </c>
      <c r="K26" s="15" t="str">
        <f t="shared" si="0"/>
        <v/>
      </c>
      <c r="L26" s="9"/>
      <c r="R26" s="17" t="str">
        <f t="shared" si="1"/>
        <v>&lt;p8_name&gt;</v>
      </c>
    </row>
    <row r="27" spans="1:18" ht="35.25" hidden="1" customHeight="1" x14ac:dyDescent="0.25">
      <c r="A27" s="13" t="s">
        <v>51</v>
      </c>
      <c r="B27" s="13"/>
      <c r="C27" s="37" t="s">
        <v>121</v>
      </c>
      <c r="D27" s="37"/>
      <c r="E27" s="37"/>
      <c r="F27" s="37"/>
      <c r="G27" s="37"/>
      <c r="H27" s="15" t="s">
        <v>122</v>
      </c>
      <c r="I27" s="16" t="s">
        <v>123</v>
      </c>
      <c r="J27" s="15" t="s">
        <v>124</v>
      </c>
      <c r="K27" s="15" t="str">
        <f t="shared" si="0"/>
        <v/>
      </c>
      <c r="L27" s="9"/>
      <c r="R27" s="17" t="str">
        <f t="shared" si="1"/>
        <v>&lt;p9_name&gt;</v>
      </c>
    </row>
    <row r="28" spans="1:18" ht="35.25" hidden="1" customHeight="1" x14ac:dyDescent="0.25">
      <c r="A28" s="13" t="s">
        <v>52</v>
      </c>
      <c r="B28" s="13"/>
      <c r="C28" s="37" t="s">
        <v>125</v>
      </c>
      <c r="D28" s="37"/>
      <c r="E28" s="37"/>
      <c r="F28" s="37"/>
      <c r="G28" s="37"/>
      <c r="H28" s="15" t="s">
        <v>126</v>
      </c>
      <c r="I28" s="16" t="s">
        <v>127</v>
      </c>
      <c r="J28" s="15" t="s">
        <v>128</v>
      </c>
      <c r="K28" s="15" t="str">
        <f t="shared" si="0"/>
        <v/>
      </c>
      <c r="L28" s="9"/>
      <c r="R28" s="17" t="str">
        <f t="shared" si="1"/>
        <v>&lt;p10_name&gt;</v>
      </c>
    </row>
    <row r="29" spans="1:18" ht="35.25" hidden="1" customHeight="1" x14ac:dyDescent="0.25">
      <c r="A29" s="13" t="s">
        <v>53</v>
      </c>
      <c r="B29" s="13"/>
      <c r="C29" s="37" t="s">
        <v>129</v>
      </c>
      <c r="D29" s="37"/>
      <c r="E29" s="37"/>
      <c r="F29" s="37"/>
      <c r="G29" s="37"/>
      <c r="H29" s="15" t="s">
        <v>130</v>
      </c>
      <c r="I29" s="16" t="s">
        <v>131</v>
      </c>
      <c r="J29" s="15" t="s">
        <v>132</v>
      </c>
      <c r="K29" s="15" t="str">
        <f t="shared" si="0"/>
        <v/>
      </c>
      <c r="L29" s="9"/>
      <c r="R29" s="17" t="str">
        <f t="shared" si="1"/>
        <v>&lt;p11_name&gt;</v>
      </c>
    </row>
    <row r="30" spans="1:18" ht="35.25" hidden="1" customHeight="1" x14ac:dyDescent="0.25">
      <c r="A30" s="13" t="s">
        <v>54</v>
      </c>
      <c r="B30" s="13"/>
      <c r="C30" s="37" t="s">
        <v>133</v>
      </c>
      <c r="D30" s="37"/>
      <c r="E30" s="37"/>
      <c r="F30" s="37"/>
      <c r="G30" s="37"/>
      <c r="H30" s="15" t="s">
        <v>134</v>
      </c>
      <c r="I30" s="16" t="s">
        <v>135</v>
      </c>
      <c r="J30" s="15" t="s">
        <v>136</v>
      </c>
      <c r="K30" s="15" t="str">
        <f t="shared" si="0"/>
        <v/>
      </c>
      <c r="L30" s="9"/>
      <c r="R30" s="17" t="str">
        <f t="shared" si="1"/>
        <v>&lt;p12_name&gt;</v>
      </c>
    </row>
    <row r="31" spans="1:18" ht="35.25" hidden="1" customHeight="1" x14ac:dyDescent="0.25">
      <c r="A31" s="13" t="s">
        <v>55</v>
      </c>
      <c r="B31" s="13"/>
      <c r="C31" s="37" t="s">
        <v>137</v>
      </c>
      <c r="D31" s="37"/>
      <c r="E31" s="37"/>
      <c r="F31" s="37"/>
      <c r="G31" s="37"/>
      <c r="H31" s="15" t="s">
        <v>138</v>
      </c>
      <c r="I31" s="16" t="s">
        <v>139</v>
      </c>
      <c r="J31" s="15" t="s">
        <v>140</v>
      </c>
      <c r="K31" s="15" t="str">
        <f t="shared" si="0"/>
        <v/>
      </c>
      <c r="L31" s="9"/>
      <c r="R31" s="17" t="str">
        <f t="shared" si="1"/>
        <v>&lt;p13_name&gt;</v>
      </c>
    </row>
    <row r="32" spans="1:18" ht="35.25" hidden="1" customHeight="1" x14ac:dyDescent="0.25">
      <c r="A32" s="13" t="s">
        <v>56</v>
      </c>
      <c r="B32" s="13"/>
      <c r="C32" s="37" t="s">
        <v>141</v>
      </c>
      <c r="D32" s="37"/>
      <c r="E32" s="37"/>
      <c r="F32" s="37"/>
      <c r="G32" s="37"/>
      <c r="H32" s="15" t="s">
        <v>142</v>
      </c>
      <c r="I32" s="16" t="s">
        <v>143</v>
      </c>
      <c r="J32" s="15" t="s">
        <v>144</v>
      </c>
      <c r="K32" s="15" t="str">
        <f t="shared" si="0"/>
        <v/>
      </c>
      <c r="L32" s="9"/>
      <c r="R32" s="17" t="str">
        <f t="shared" si="1"/>
        <v>&lt;p14_name&gt;</v>
      </c>
    </row>
    <row r="33" spans="1:18" ht="35.25" hidden="1" customHeight="1" x14ac:dyDescent="0.25">
      <c r="A33" s="13" t="s">
        <v>57</v>
      </c>
      <c r="B33" s="13"/>
      <c r="C33" s="37" t="s">
        <v>145</v>
      </c>
      <c r="D33" s="37"/>
      <c r="E33" s="37"/>
      <c r="F33" s="37"/>
      <c r="G33" s="37"/>
      <c r="H33" s="15" t="s">
        <v>146</v>
      </c>
      <c r="I33" s="16" t="s">
        <v>147</v>
      </c>
      <c r="J33" s="15" t="s">
        <v>148</v>
      </c>
      <c r="K33" s="15" t="str">
        <f t="shared" si="0"/>
        <v/>
      </c>
      <c r="L33" s="9"/>
      <c r="R33" s="17" t="str">
        <f t="shared" si="1"/>
        <v>&lt;p15_name&gt;</v>
      </c>
    </row>
    <row r="34" spans="1:18" ht="35.25" hidden="1" customHeight="1" x14ac:dyDescent="0.25">
      <c r="A34" s="13" t="s">
        <v>58</v>
      </c>
      <c r="B34" s="13"/>
      <c r="C34" s="37" t="s">
        <v>149</v>
      </c>
      <c r="D34" s="37"/>
      <c r="E34" s="37"/>
      <c r="F34" s="37"/>
      <c r="G34" s="37"/>
      <c r="H34" s="15" t="s">
        <v>150</v>
      </c>
      <c r="I34" s="16" t="s">
        <v>151</v>
      </c>
      <c r="J34" s="15" t="s">
        <v>152</v>
      </c>
      <c r="K34" s="15" t="str">
        <f t="shared" si="0"/>
        <v/>
      </c>
      <c r="L34" s="9"/>
      <c r="R34" s="17" t="str">
        <f t="shared" si="1"/>
        <v>&lt;p16_name&gt;</v>
      </c>
    </row>
    <row r="35" spans="1:18" ht="18" x14ac:dyDescent="0.25">
      <c r="A35" s="13" t="s">
        <v>76</v>
      </c>
      <c r="B35" s="13"/>
      <c r="C35" s="25"/>
      <c r="D35" s="25"/>
      <c r="E35" s="25"/>
      <c r="F35" s="25"/>
      <c r="G35" s="25"/>
      <c r="H35" s="27"/>
      <c r="I35" s="27"/>
      <c r="J35" s="27"/>
      <c r="K35" s="28"/>
      <c r="L35" s="9"/>
    </row>
    <row r="36" spans="1:18" ht="18" x14ac:dyDescent="0.25">
      <c r="A36" s="13"/>
      <c r="B36" s="13"/>
      <c r="C36" s="9"/>
      <c r="D36" s="9"/>
      <c r="E36" s="9"/>
      <c r="F36" s="9"/>
      <c r="G36" s="9"/>
      <c r="H36" s="18"/>
      <c r="I36" s="18"/>
      <c r="J36" s="18"/>
      <c r="K36" s="19"/>
      <c r="L36" s="9"/>
    </row>
    <row r="37" spans="1:18" ht="18" x14ac:dyDescent="0.25">
      <c r="A37" s="13"/>
      <c r="B37" s="13"/>
      <c r="C37" s="9"/>
      <c r="D37" s="9"/>
      <c r="E37" s="9"/>
      <c r="F37" s="9"/>
      <c r="G37" s="9"/>
      <c r="H37" s="18"/>
      <c r="I37" s="18" t="s">
        <v>77</v>
      </c>
      <c r="J37" s="18"/>
      <c r="K37" s="19">
        <f>SUM(K18:K35)</f>
        <v>0</v>
      </c>
      <c r="L37" s="9"/>
    </row>
    <row r="38" spans="1:18" ht="18" x14ac:dyDescent="0.25">
      <c r="A38" s="13"/>
      <c r="B38" s="13"/>
      <c r="C38" s="14"/>
      <c r="D38" s="14"/>
      <c r="E38" s="14"/>
      <c r="F38" s="14"/>
      <c r="G38" s="14"/>
      <c r="H38" s="20"/>
      <c r="I38" s="20" t="s">
        <v>78</v>
      </c>
      <c r="J38" s="20"/>
      <c r="K38" s="21">
        <f>K37*0.25</f>
        <v>0</v>
      </c>
      <c r="L38" s="9"/>
    </row>
    <row r="39" spans="1:18" ht="18" x14ac:dyDescent="0.25">
      <c r="A39" s="13"/>
      <c r="B39" s="13"/>
      <c r="C39" s="9"/>
      <c r="D39" s="9"/>
      <c r="E39" s="9"/>
      <c r="F39" s="9"/>
      <c r="G39" s="9"/>
      <c r="H39" s="18"/>
      <c r="I39" s="32" t="s">
        <v>79</v>
      </c>
      <c r="J39" s="32"/>
      <c r="K39" s="33">
        <f>K37*1.25</f>
        <v>0</v>
      </c>
      <c r="L39" s="9"/>
    </row>
    <row r="40" spans="1:18" ht="9" customHeight="1" thickBot="1" x14ac:dyDescent="0.3">
      <c r="A40" s="13"/>
      <c r="B40" s="13"/>
      <c r="C40" s="9"/>
      <c r="D40" s="9"/>
      <c r="E40" s="9"/>
      <c r="F40" s="9"/>
      <c r="G40" s="9"/>
      <c r="H40" s="9"/>
      <c r="I40" s="22"/>
      <c r="J40" s="22"/>
      <c r="K40" s="23"/>
      <c r="L40" s="9"/>
    </row>
    <row r="41" spans="1:18" ht="18.75" thickTop="1" x14ac:dyDescent="0.25">
      <c r="A41" s="13"/>
      <c r="B41" s="13"/>
      <c r="D41" s="9"/>
      <c r="E41" s="9"/>
      <c r="F41" s="9"/>
      <c r="G41" s="9"/>
      <c r="H41" s="9"/>
      <c r="I41" s="9"/>
      <c r="J41" s="9"/>
      <c r="K41" s="9"/>
      <c r="L41" s="9"/>
    </row>
    <row r="42" spans="1:18" ht="18" x14ac:dyDescent="0.25">
      <c r="A42" s="13"/>
      <c r="B42" s="13"/>
      <c r="C42" s="9" t="s">
        <v>80</v>
      </c>
      <c r="D42" s="9"/>
      <c r="E42" s="9"/>
      <c r="F42" s="9"/>
      <c r="G42" s="9"/>
      <c r="H42" s="9"/>
      <c r="I42" s="9"/>
      <c r="J42" s="9"/>
      <c r="K42" s="9"/>
      <c r="L42" s="9"/>
    </row>
    <row r="43" spans="1:18" ht="18" x14ac:dyDescent="0.25">
      <c r="A43" s="13"/>
      <c r="B43" s="13"/>
      <c r="C43" s="9"/>
      <c r="D43" s="9"/>
      <c r="E43" s="9"/>
      <c r="F43" s="9"/>
      <c r="G43" s="9"/>
      <c r="H43" s="9"/>
      <c r="I43" s="9"/>
      <c r="J43" s="9"/>
      <c r="K43" s="9"/>
      <c r="L43" s="9"/>
    </row>
    <row r="44" spans="1:18" ht="18" x14ac:dyDescent="0.25">
      <c r="A44" s="13"/>
      <c r="B44" s="13"/>
      <c r="C44" s="9" t="s">
        <v>81</v>
      </c>
      <c r="D44" s="9"/>
      <c r="E44" s="9"/>
      <c r="F44" s="9"/>
      <c r="G44" s="9"/>
      <c r="H44" s="9"/>
      <c r="I44" s="9"/>
      <c r="J44" s="9"/>
      <c r="K44" s="9"/>
      <c r="L44" s="9"/>
    </row>
    <row r="45" spans="1:18" ht="18" x14ac:dyDescent="0.25">
      <c r="A45" s="13"/>
      <c r="B45" s="13"/>
      <c r="C45" s="9" t="s">
        <v>82</v>
      </c>
      <c r="D45" s="9"/>
      <c r="E45" s="9"/>
      <c r="F45" s="9"/>
      <c r="G45" s="9"/>
      <c r="H45" s="9"/>
      <c r="I45" s="9"/>
      <c r="J45" s="9"/>
      <c r="K45" s="9"/>
      <c r="L45" s="9"/>
    </row>
    <row r="46" spans="1:18" ht="18" x14ac:dyDescent="0.25">
      <c r="A46" s="13"/>
      <c r="B46" s="13"/>
      <c r="C46" s="9" t="s">
        <v>83</v>
      </c>
      <c r="D46" s="9"/>
      <c r="E46" s="9"/>
      <c r="F46" s="9"/>
      <c r="G46" s="9"/>
      <c r="H46" s="9"/>
      <c r="I46" s="9"/>
      <c r="J46" s="9"/>
      <c r="K46" s="9"/>
      <c r="L46" s="9"/>
    </row>
    <row r="47" spans="1:18" ht="18" x14ac:dyDescent="0.25">
      <c r="A47" s="13"/>
      <c r="B47" s="13"/>
      <c r="C47" s="9"/>
      <c r="D47" s="9"/>
      <c r="E47" s="9"/>
      <c r="F47" s="9"/>
      <c r="G47" s="9"/>
      <c r="H47" s="9"/>
      <c r="I47" s="9"/>
      <c r="J47" s="9"/>
      <c r="K47" s="9"/>
      <c r="L47" s="9"/>
    </row>
    <row r="48" spans="1:18" ht="18" x14ac:dyDescent="0.25">
      <c r="A48" s="13"/>
      <c r="B48" s="13"/>
      <c r="C48" s="9" t="s">
        <v>84</v>
      </c>
      <c r="D48" s="9"/>
      <c r="E48" s="9"/>
      <c r="F48" s="9"/>
      <c r="G48" s="9"/>
      <c r="H48" s="9"/>
      <c r="I48" s="9"/>
      <c r="J48" s="9"/>
      <c r="K48" s="9"/>
      <c r="L48" s="9"/>
    </row>
    <row r="49" spans="1:18" ht="18" x14ac:dyDescent="0.25">
      <c r="A49" s="13"/>
      <c r="B49" s="13"/>
      <c r="C49" s="9"/>
      <c r="D49" s="9"/>
      <c r="E49" s="9"/>
      <c r="F49" s="9"/>
      <c r="G49" s="9"/>
      <c r="H49" s="9"/>
      <c r="I49" s="9"/>
      <c r="J49" s="9"/>
      <c r="K49" s="9"/>
      <c r="L49" s="9"/>
    </row>
    <row r="50" spans="1:18" ht="18" x14ac:dyDescent="0.25">
      <c r="A50" s="13"/>
      <c r="B50" s="13"/>
      <c r="C50" s="9"/>
      <c r="D50" s="9"/>
      <c r="E50" s="9"/>
      <c r="F50" s="9"/>
      <c r="G50" s="9"/>
      <c r="H50" s="9"/>
      <c r="I50" s="9"/>
      <c r="J50" s="9"/>
      <c r="K50" s="9"/>
      <c r="L50" s="9"/>
    </row>
    <row r="51" spans="1:18" ht="35.25" customHeight="1" x14ac:dyDescent="0.25">
      <c r="A51" s="13"/>
      <c r="B51" s="13"/>
      <c r="C51" s="37"/>
      <c r="D51" s="37"/>
      <c r="E51" s="37"/>
      <c r="F51" s="37"/>
      <c r="G51" s="37"/>
      <c r="H51" s="15"/>
      <c r="I51" s="16"/>
      <c r="J51" s="15"/>
      <c r="K51" s="15"/>
      <c r="L51" s="9"/>
      <c r="R51" s="17"/>
    </row>
    <row r="52" spans="1:18" ht="35.25" customHeight="1" x14ac:dyDescent="0.25">
      <c r="A52" s="13"/>
      <c r="B52" s="13"/>
      <c r="C52" s="37"/>
      <c r="D52" s="37"/>
      <c r="E52" s="37"/>
      <c r="F52" s="37"/>
      <c r="G52" s="37"/>
      <c r="H52" s="15"/>
      <c r="I52" s="16"/>
      <c r="J52" s="15"/>
      <c r="K52" s="15"/>
      <c r="L52" s="9"/>
      <c r="R52" s="17"/>
    </row>
    <row r="53" spans="1:18" ht="35.25" customHeight="1" x14ac:dyDescent="0.25">
      <c r="A53" s="13"/>
      <c r="B53" s="13"/>
      <c r="C53" s="37"/>
      <c r="D53" s="37"/>
      <c r="E53" s="37"/>
      <c r="F53" s="37"/>
      <c r="G53" s="37"/>
      <c r="H53" s="15"/>
      <c r="I53" s="16"/>
      <c r="J53" s="15"/>
      <c r="K53" s="15"/>
      <c r="L53" s="9"/>
      <c r="R53" s="17"/>
    </row>
    <row r="54" spans="1:18" ht="35.25" customHeight="1" x14ac:dyDescent="0.25">
      <c r="A54" s="13"/>
      <c r="B54" s="13"/>
      <c r="C54" s="37"/>
      <c r="D54" s="37"/>
      <c r="E54" s="37"/>
      <c r="F54" s="37"/>
      <c r="G54" s="37"/>
      <c r="H54" s="15"/>
      <c r="I54" s="16"/>
      <c r="J54" s="15"/>
      <c r="K54" s="15"/>
      <c r="L54" s="9"/>
      <c r="R54" s="17"/>
    </row>
    <row r="55" spans="1:18" ht="35.25" customHeight="1" x14ac:dyDescent="0.25">
      <c r="A55" s="13"/>
      <c r="B55" s="13"/>
      <c r="C55" s="37"/>
      <c r="D55" s="37"/>
      <c r="E55" s="37"/>
      <c r="F55" s="37"/>
      <c r="G55" s="37"/>
      <c r="H55" s="15"/>
      <c r="I55" s="16"/>
      <c r="J55" s="15"/>
      <c r="K55" s="15"/>
      <c r="L55" s="9"/>
      <c r="R55" s="17"/>
    </row>
    <row r="56" spans="1:18" ht="35.25" customHeight="1" x14ac:dyDescent="0.25">
      <c r="A56" s="13"/>
      <c r="B56" s="13"/>
      <c r="C56" s="37"/>
      <c r="D56" s="37"/>
      <c r="E56" s="37"/>
      <c r="F56" s="37"/>
      <c r="G56" s="37"/>
      <c r="H56" s="15"/>
      <c r="I56" s="16"/>
      <c r="J56" s="15"/>
      <c r="K56" s="15"/>
      <c r="L56" s="9"/>
      <c r="R56" s="17"/>
    </row>
    <row r="57" spans="1:18" ht="35.25" customHeight="1" x14ac:dyDescent="0.25">
      <c r="A57" s="13"/>
      <c r="B57" s="13"/>
      <c r="C57" s="37"/>
      <c r="D57" s="37"/>
      <c r="E57" s="37"/>
      <c r="F57" s="37"/>
      <c r="G57" s="37"/>
      <c r="H57" s="15"/>
      <c r="I57" s="16"/>
      <c r="J57" s="15"/>
      <c r="K57" s="15"/>
      <c r="L57" s="9"/>
      <c r="R57" s="17"/>
    </row>
    <row r="58" spans="1:18" ht="35.25" customHeight="1" x14ac:dyDescent="0.25">
      <c r="A58" s="13"/>
      <c r="B58" s="13"/>
      <c r="C58" s="37"/>
      <c r="D58" s="37"/>
      <c r="E58" s="37"/>
      <c r="F58" s="37"/>
      <c r="G58" s="37"/>
      <c r="H58" s="15"/>
      <c r="I58" s="16"/>
      <c r="J58" s="15"/>
      <c r="K58" s="15"/>
      <c r="L58" s="9"/>
      <c r="R58" s="17"/>
    </row>
    <row r="59" spans="1:18" ht="35.25" customHeight="1" x14ac:dyDescent="0.25">
      <c r="A59" s="13"/>
      <c r="B59" s="13"/>
      <c r="C59" s="37"/>
      <c r="D59" s="37"/>
      <c r="E59" s="37"/>
      <c r="F59" s="37"/>
      <c r="G59" s="37"/>
      <c r="H59" s="15"/>
      <c r="I59" s="16"/>
      <c r="J59" s="15"/>
      <c r="K59" s="15"/>
      <c r="L59" s="9"/>
      <c r="R59" s="17"/>
    </row>
    <row r="60" spans="1:18" ht="35.25" customHeight="1" x14ac:dyDescent="0.25">
      <c r="A60" s="13"/>
      <c r="B60" s="13"/>
      <c r="C60" s="37"/>
      <c r="D60" s="37"/>
      <c r="E60" s="37"/>
      <c r="F60" s="37"/>
      <c r="G60" s="37"/>
      <c r="H60" s="15"/>
      <c r="I60" s="16"/>
      <c r="J60" s="15"/>
      <c r="K60" s="15"/>
      <c r="L60" s="9"/>
      <c r="R60" s="17"/>
    </row>
    <row r="61" spans="1:18" ht="35.25" customHeight="1" x14ac:dyDescent="0.25">
      <c r="A61" s="13"/>
      <c r="B61" s="13"/>
      <c r="C61" s="37"/>
      <c r="D61" s="37"/>
      <c r="E61" s="37"/>
      <c r="F61" s="37"/>
      <c r="G61" s="37"/>
      <c r="H61" s="15"/>
      <c r="I61" s="16"/>
      <c r="J61" s="15"/>
      <c r="K61" s="15"/>
      <c r="L61" s="9"/>
      <c r="R61" s="17"/>
    </row>
    <row r="62" spans="1:18" ht="35.25" customHeight="1" x14ac:dyDescent="0.25">
      <c r="A62" s="13"/>
      <c r="B62" s="13"/>
      <c r="C62" s="37"/>
      <c r="D62" s="37"/>
      <c r="E62" s="37"/>
      <c r="F62" s="37"/>
      <c r="G62" s="37"/>
      <c r="H62" s="15"/>
      <c r="I62" s="16"/>
      <c r="J62" s="15"/>
      <c r="K62" s="15"/>
      <c r="L62" s="9"/>
      <c r="R62" s="17"/>
    </row>
    <row r="63" spans="1:18" ht="35.25" customHeight="1" x14ac:dyDescent="0.25">
      <c r="A63" s="13"/>
      <c r="B63" s="13"/>
      <c r="C63" s="37"/>
      <c r="D63" s="37"/>
      <c r="E63" s="37"/>
      <c r="F63" s="37"/>
      <c r="G63" s="37"/>
      <c r="H63" s="15"/>
      <c r="I63" s="16"/>
      <c r="J63" s="15"/>
      <c r="K63" s="15"/>
      <c r="L63" s="9"/>
      <c r="R63" s="17"/>
    </row>
    <row r="64" spans="1:18" ht="35.25" customHeight="1" x14ac:dyDescent="0.25">
      <c r="A64" s="13"/>
      <c r="B64" s="13"/>
      <c r="C64" s="37"/>
      <c r="D64" s="37"/>
      <c r="E64" s="37"/>
      <c r="F64" s="37"/>
      <c r="G64" s="37"/>
      <c r="H64" s="15"/>
      <c r="I64" s="16"/>
      <c r="J64" s="15"/>
      <c r="K64" s="15"/>
      <c r="L64" s="9"/>
      <c r="R64" s="17"/>
    </row>
    <row r="65" spans="1:18" ht="35.25" customHeight="1" x14ac:dyDescent="0.25">
      <c r="A65" s="13"/>
      <c r="B65" s="13"/>
      <c r="C65" s="37"/>
      <c r="D65" s="37"/>
      <c r="E65" s="37"/>
      <c r="F65" s="37"/>
      <c r="G65" s="37"/>
      <c r="H65" s="15"/>
      <c r="I65" s="16"/>
      <c r="J65" s="15"/>
      <c r="K65" s="15"/>
      <c r="L65" s="9"/>
      <c r="R65" s="17"/>
    </row>
    <row r="66" spans="1:18" ht="18" x14ac:dyDescent="0.25">
      <c r="A66" s="13"/>
      <c r="B66" s="13"/>
      <c r="C66" s="25"/>
      <c r="D66" s="25"/>
      <c r="E66" s="25"/>
      <c r="F66" s="25"/>
      <c r="G66" s="25"/>
      <c r="H66" s="25"/>
      <c r="I66" s="25"/>
      <c r="J66" s="29"/>
      <c r="K66" s="29"/>
      <c r="L66" s="9"/>
    </row>
    <row r="67" spans="1:18" ht="8.25" customHeight="1" x14ac:dyDescent="0.25">
      <c r="A67" s="13"/>
      <c r="B67" s="13"/>
      <c r="C67" s="9"/>
      <c r="D67" s="9"/>
      <c r="E67" s="9"/>
      <c r="F67" s="9"/>
      <c r="G67" s="9"/>
      <c r="H67" s="9"/>
      <c r="I67" s="9"/>
      <c r="J67" s="9"/>
      <c r="K67" s="9"/>
      <c r="L67" s="9"/>
    </row>
    <row r="68" spans="1:18" ht="18" x14ac:dyDescent="0.25">
      <c r="A68" s="13"/>
      <c r="B68" s="13"/>
      <c r="C68" s="9"/>
      <c r="D68" s="13"/>
      <c r="G68" s="24" t="s">
        <v>63</v>
      </c>
      <c r="H68" s="31" t="s">
        <v>85</v>
      </c>
      <c r="I68" s="31"/>
      <c r="J68" s="31"/>
      <c r="K68" s="9"/>
      <c r="L68" s="9"/>
    </row>
    <row r="69" spans="1:18" ht="18" x14ac:dyDescent="0.25">
      <c r="A69" s="13" t="s">
        <v>86</v>
      </c>
      <c r="B69" s="13"/>
      <c r="C69" s="9"/>
      <c r="D69" s="38" t="s">
        <v>87</v>
      </c>
      <c r="E69" s="38"/>
      <c r="F69" s="38"/>
      <c r="G69" s="38"/>
      <c r="H69" s="38"/>
      <c r="I69" s="38"/>
      <c r="J69" s="38"/>
      <c r="K69" s="9"/>
      <c r="L69" s="9"/>
    </row>
  </sheetData>
  <mergeCells count="32">
    <mergeCell ref="C60:G60"/>
    <mergeCell ref="C61:G61"/>
    <mergeCell ref="C62:G62"/>
    <mergeCell ref="C63:G63"/>
    <mergeCell ref="C34:G34"/>
    <mergeCell ref="C25:G25"/>
    <mergeCell ref="C26:G26"/>
    <mergeCell ref="C27:G27"/>
    <mergeCell ref="C58:G58"/>
    <mergeCell ref="C59:G59"/>
    <mergeCell ref="C28:G28"/>
    <mergeCell ref="C29:G29"/>
    <mergeCell ref="C30:G30"/>
    <mergeCell ref="C31:G31"/>
    <mergeCell ref="C32:G32"/>
    <mergeCell ref="C33:G33"/>
    <mergeCell ref="C19:G19"/>
    <mergeCell ref="D69:J69"/>
    <mergeCell ref="C51:G51"/>
    <mergeCell ref="C52:G52"/>
    <mergeCell ref="C53:G53"/>
    <mergeCell ref="C54:G54"/>
    <mergeCell ref="C55:G55"/>
    <mergeCell ref="C56:G56"/>
    <mergeCell ref="C57:G57"/>
    <mergeCell ref="C64:G64"/>
    <mergeCell ref="C65:G65"/>
    <mergeCell ref="C20:G20"/>
    <mergeCell ref="C21:G21"/>
    <mergeCell ref="C22:G22"/>
    <mergeCell ref="C23:G23"/>
    <mergeCell ref="C24:G24"/>
  </mergeCells>
  <pageMargins left="0.7" right="0.7" top="0.75" bottom="0.75" header="0.3" footer="0.3"/>
  <pageSetup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Firma</vt:lpstr>
      <vt:lpstr>Products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</dc:creator>
  <cp:lastModifiedBy>danbl</cp:lastModifiedBy>
  <cp:lastPrinted>2018-07-08T22:22:27Z</cp:lastPrinted>
  <dcterms:created xsi:type="dcterms:W3CDTF">2016-07-13T02:44:25Z</dcterms:created>
  <dcterms:modified xsi:type="dcterms:W3CDTF">2018-07-17T13:57:35Z</dcterms:modified>
</cp:coreProperties>
</file>